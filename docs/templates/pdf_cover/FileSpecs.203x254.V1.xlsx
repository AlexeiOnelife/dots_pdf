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Sales &amp; Marketing\03 - Klanten\Dots Memories\Specs\203x254\"/>
    </mc:Choice>
  </mc:AlternateContent>
  <xr:revisionPtr revIDLastSave="0" documentId="8_{8B0582F4-593B-441F-945B-9886BB516F2B}" xr6:coauthVersionLast="47" xr6:coauthVersionMax="47" xr10:uidLastSave="{00000000-0000-0000-0000-000000000000}"/>
  <bookViews>
    <workbookView xWindow="43080" yWindow="-120" windowWidth="29040" windowHeight="15720" tabRatio="826" xr2:uid="{00000000-000D-0000-FFFF-FFFF00000000}"/>
  </bookViews>
  <sheets>
    <sheet name="203x254" sheetId="35" r:id="rId1"/>
    <sheet name="Partial DJ" sheetId="37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37" l="1"/>
  <c r="H2" i="37" s="1"/>
  <c r="T12" i="37" l="1"/>
  <c r="V12" i="37" s="1"/>
  <c r="R6" i="37"/>
  <c r="E8" i="37"/>
  <c r="T13" i="37" l="1"/>
  <c r="A11" i="37"/>
  <c r="AB20" i="35"/>
  <c r="AE20" i="35" s="1"/>
  <c r="AH20" i="35" s="1"/>
  <c r="Z20" i="35"/>
  <c r="AC20" i="35" s="1"/>
  <c r="AF20" i="35" s="1"/>
  <c r="Y20" i="35"/>
  <c r="W20" i="35"/>
  <c r="O20" i="35"/>
  <c r="M20" i="35"/>
  <c r="L20" i="35"/>
  <c r="J20" i="35"/>
  <c r="I20" i="35"/>
  <c r="W19" i="35"/>
  <c r="Z19" i="35" s="1"/>
  <c r="AC19" i="35" s="1"/>
  <c r="AF19" i="35" s="1"/>
  <c r="M19" i="35"/>
  <c r="L19" i="35"/>
  <c r="AB19" i="35" s="1"/>
  <c r="AE19" i="35" s="1"/>
  <c r="AH19" i="35" s="1"/>
  <c r="J19" i="35"/>
  <c r="I19" i="35"/>
  <c r="L18" i="35"/>
  <c r="AB18" i="35" s="1"/>
  <c r="AE18" i="35" s="1"/>
  <c r="AH18" i="35" s="1"/>
  <c r="J18" i="35"/>
  <c r="W18" i="35" s="1"/>
  <c r="Z18" i="35" s="1"/>
  <c r="AC18" i="35" s="1"/>
  <c r="AF18" i="35" s="1"/>
  <c r="I18" i="35"/>
  <c r="AB17" i="35"/>
  <c r="AE17" i="35" s="1"/>
  <c r="AH17" i="35" s="1"/>
  <c r="L17" i="35"/>
  <c r="Y17" i="35" s="1"/>
  <c r="J17" i="35"/>
  <c r="W17" i="35" s="1"/>
  <c r="Z17" i="35" s="1"/>
  <c r="AC17" i="35" s="1"/>
  <c r="AF17" i="35" s="1"/>
  <c r="I17" i="35"/>
  <c r="AB16" i="35"/>
  <c r="AE16" i="35" s="1"/>
  <c r="AH16" i="35" s="1"/>
  <c r="L16" i="35"/>
  <c r="Y16" i="35" s="1"/>
  <c r="J16" i="35"/>
  <c r="W16" i="35" s="1"/>
  <c r="Z16" i="35" s="1"/>
  <c r="AC16" i="35" s="1"/>
  <c r="AF16" i="35" s="1"/>
  <c r="I16" i="35"/>
  <c r="AB15" i="35"/>
  <c r="AE15" i="35" s="1"/>
  <c r="AH15" i="35" s="1"/>
  <c r="Z15" i="35"/>
  <c r="AC15" i="35" s="1"/>
  <c r="AF15" i="35" s="1"/>
  <c r="Y15" i="35"/>
  <c r="W15" i="35"/>
  <c r="O15" i="35"/>
  <c r="M15" i="35"/>
  <c r="L11" i="35"/>
  <c r="J11" i="35"/>
  <c r="W11" i="35" s="1"/>
  <c r="Z11" i="35" s="1"/>
  <c r="AC11" i="35" s="1"/>
  <c r="I11" i="35"/>
  <c r="L10" i="35"/>
  <c r="J10" i="35"/>
  <c r="W10" i="35" s="1"/>
  <c r="Z10" i="35" s="1"/>
  <c r="AC10" i="35" s="1"/>
  <c r="AF10" i="35" s="1"/>
  <c r="I10" i="35"/>
  <c r="L9" i="35"/>
  <c r="AB9" i="35" s="1"/>
  <c r="AE9" i="35" s="1"/>
  <c r="AH9" i="35" s="1"/>
  <c r="J9" i="35"/>
  <c r="W9" i="35" s="1"/>
  <c r="Z9" i="35" s="1"/>
  <c r="AC9" i="35" s="1"/>
  <c r="AF9" i="35" s="1"/>
  <c r="I9" i="35"/>
  <c r="L8" i="35"/>
  <c r="J8" i="35"/>
  <c r="W8" i="35" s="1"/>
  <c r="Z8" i="35" s="1"/>
  <c r="AC8" i="35" s="1"/>
  <c r="I8" i="35"/>
  <c r="L7" i="35"/>
  <c r="AB7" i="35" s="1"/>
  <c r="AE7" i="35" s="1"/>
  <c r="AH7" i="35" s="1"/>
  <c r="J7" i="35"/>
  <c r="W7" i="35" s="1"/>
  <c r="Z7" i="35" s="1"/>
  <c r="AC7" i="35" s="1"/>
  <c r="AF7" i="35" s="1"/>
  <c r="I7" i="35"/>
  <c r="AB6" i="35"/>
  <c r="AE6" i="35" s="1"/>
  <c r="AH6" i="35" s="1"/>
  <c r="Y6" i="35"/>
  <c r="W6" i="35"/>
  <c r="Z6" i="35" s="1"/>
  <c r="AC6" i="35" s="1"/>
  <c r="AF6" i="35" s="1"/>
  <c r="O6" i="35"/>
  <c r="M6" i="35"/>
  <c r="T14" i="37" l="1"/>
  <c r="V13" i="37"/>
  <c r="M18" i="35"/>
  <c r="O19" i="35"/>
  <c r="M17" i="35"/>
  <c r="O18" i="35"/>
  <c r="M16" i="35"/>
  <c r="O17" i="35"/>
  <c r="Y19" i="35"/>
  <c r="O16" i="35"/>
  <c r="Y18" i="35"/>
  <c r="AB10" i="35"/>
  <c r="AE10" i="35" s="1"/>
  <c r="AH10" i="35" s="1"/>
  <c r="AB11" i="35"/>
  <c r="AE11" i="35" s="1"/>
  <c r="AH11" i="35" s="1"/>
  <c r="AB8" i="35"/>
  <c r="AE8" i="35" s="1"/>
  <c r="AH8" i="35" s="1"/>
  <c r="AF8" i="35"/>
  <c r="AF11" i="35"/>
  <c r="Y7" i="35"/>
  <c r="M11" i="35"/>
  <c r="O11" i="35"/>
  <c r="M10" i="35"/>
  <c r="M9" i="35"/>
  <c r="O10" i="35"/>
  <c r="Y11" i="35"/>
  <c r="M8" i="35"/>
  <c r="O9" i="35"/>
  <c r="M7" i="35"/>
  <c r="O8" i="35"/>
  <c r="Y10" i="35"/>
  <c r="O7" i="35"/>
  <c r="Y9" i="35"/>
  <c r="Y8" i="35"/>
  <c r="T15" i="37" l="1"/>
  <c r="V14" i="37"/>
  <c r="T16" i="37" l="1"/>
  <c r="V16" i="37" s="1"/>
  <c r="V15" i="37"/>
</calcChain>
</file>

<file path=xl/sharedStrings.xml><?xml version="1.0" encoding="utf-8"?>
<sst xmlns="http://schemas.openxmlformats.org/spreadsheetml/2006/main" count="206" uniqueCount="59">
  <si>
    <t>No</t>
  </si>
  <si>
    <t>File specifications</t>
  </si>
  <si>
    <t>File specs</t>
  </si>
  <si>
    <t>Interior/ book block specs</t>
  </si>
  <si>
    <t>Cover specs</t>
  </si>
  <si>
    <t>Finishing specs</t>
  </si>
  <si>
    <t>Part #</t>
  </si>
  <si>
    <t>Product type</t>
  </si>
  <si>
    <t>Laminate cover</t>
  </si>
  <si>
    <t>Bleed</t>
  </si>
  <si>
    <t>Flat PDF size book block incl. 3 mm bleed</t>
  </si>
  <si>
    <t>Page range</t>
  </si>
  <si>
    <t>Print</t>
  </si>
  <si>
    <t>Flat PDF size including 3 mm bleed</t>
  </si>
  <si>
    <t>Binding</t>
  </si>
  <si>
    <t>Hinch</t>
  </si>
  <si>
    <t xml:space="preserve">Board </t>
  </si>
  <si>
    <t>Scuff free matt</t>
  </si>
  <si>
    <t>x</t>
  </si>
  <si>
    <t>-</t>
  </si>
  <si>
    <t>4/0</t>
  </si>
  <si>
    <t>PUR bound</t>
  </si>
  <si>
    <t>Global UOS SKU</t>
  </si>
  <si>
    <t>Substrate block</t>
  </si>
  <si>
    <t>Substrate Cover</t>
  </si>
  <si>
    <t>Local SKU</t>
  </si>
  <si>
    <t>Finished size book block w x h</t>
  </si>
  <si>
    <t>Wrap around cover</t>
  </si>
  <si>
    <t>Board size
w x h</t>
  </si>
  <si>
    <t>Size cover without 20 mm wrap</t>
  </si>
  <si>
    <t>PDF size including 20 mm wrap</t>
  </si>
  <si>
    <t>Hardcover Imagewrap</t>
  </si>
  <si>
    <t>Satin 170 gsm</t>
  </si>
  <si>
    <t>2,5mm</t>
  </si>
  <si>
    <t>Spine Letter</t>
  </si>
  <si>
    <t>Spine size</t>
  </si>
  <si>
    <t>A</t>
  </si>
  <si>
    <t>B</t>
  </si>
  <si>
    <t>C</t>
  </si>
  <si>
    <t>D</t>
  </si>
  <si>
    <t>E</t>
  </si>
  <si>
    <t>F</t>
  </si>
  <si>
    <t>4/4</t>
  </si>
  <si>
    <t>PreProcess</t>
  </si>
  <si>
    <t>150 gsm uncoated</t>
  </si>
  <si>
    <t>Satin 170 gsm
and 
Gloss 200 gsm</t>
  </si>
  <si>
    <t>`</t>
  </si>
  <si>
    <t>Total width</t>
  </si>
  <si>
    <t>Flap L+R</t>
  </si>
  <si>
    <t xml:space="preserve">Spine </t>
  </si>
  <si>
    <t>Front/back width</t>
  </si>
  <si>
    <t>Book block</t>
  </si>
  <si>
    <t>width</t>
  </si>
  <si>
    <t>height</t>
  </si>
  <si>
    <t>Variable</t>
  </si>
  <si>
    <t>Total height</t>
  </si>
  <si>
    <t>Base Flap size L+R</t>
  </si>
  <si>
    <t>Spine</t>
  </si>
  <si>
    <t>Variable flap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</si>
</sst>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1"/>
      <color indexed="8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8" fillId="0" borderId="0"/>
    <xf numFmtId="0" fontId="7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6" fillId="0" borderId="0"/>
    <xf numFmtId="0" fontId="14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6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12" fontId="10" fillId="3" borderId="12" xfId="5" applyNumberFormat="1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3" borderId="15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vertical="center" wrapText="1"/>
    </xf>
    <xf numFmtId="0" fontId="11" fillId="3" borderId="12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11" fillId="3" borderId="20" xfId="0" applyFont="1" applyFill="1" applyBorder="1" applyAlignment="1">
      <alignment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/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164" fontId="10" fillId="3" borderId="12" xfId="5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3" fillId="6" borderId="1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</cellXfs>
  <cellStyles count="8">
    <cellStyle name="Currency 2" xfId="5" xr:uid="{00000000-0005-0000-0000-000000000000}"/>
    <cellStyle name="Hyperlink 2" xfId="1" xr:uid="{00000000-0005-0000-0000-000002000000}"/>
    <cellStyle name="Hyperlink 3" xfId="4" xr:uid="{00000000-0005-0000-0000-000003000000}"/>
    <cellStyle name="Hyperlink 4" xfId="7" xr:uid="{4B35B295-932F-4A44-9FF4-C9196F5DA255}"/>
    <cellStyle name="Normal" xfId="0" builtinId="0"/>
    <cellStyle name="Normal 2" xfId="2" xr:uid="{00000000-0005-0000-0000-000005000000}"/>
    <cellStyle name="Normal 3" xfId="3" xr:uid="{00000000-0005-0000-0000-000006000000}"/>
    <cellStyle name="Normal 4" xfId="6" xr:uid="{737D0FF1-D755-43D1-B18E-55293ED21DDF}"/>
  </cellStyles>
  <dxfs count="0"/>
  <tableStyles count="0" defaultTableStyle="TableStyleMedium2" defaultPivotStyle="PivotStyleLight16"/>
  <colors>
    <mruColors>
      <color rgb="FF0066CC"/>
      <color rgb="FF2402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rpiprint.com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533399</xdr:colOff>
      <xdr:row>0</xdr:row>
      <xdr:rowOff>752474</xdr:rowOff>
    </xdr:to>
    <xdr:pic>
      <xdr:nvPicPr>
        <xdr:cNvPr id="2" name="Picture 1" descr="http://10.105.10.21:9580/printmanager/images/rpilogonew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455DB7-5EBC-496D-8D5B-062244341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52474" cy="752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1</xdr:row>
      <xdr:rowOff>180975</xdr:rowOff>
    </xdr:from>
    <xdr:to>
      <xdr:col>13</xdr:col>
      <xdr:colOff>371475</xdr:colOff>
      <xdr:row>16</xdr:row>
      <xdr:rowOff>106745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6F649D-4249-4B07-AC8D-C1FFE789D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43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4825" y="371475"/>
          <a:ext cx="7791450" cy="27785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5C7E-0D7C-474F-830D-F4A35CD58E21}">
  <dimension ref="A1:AN20"/>
  <sheetViews>
    <sheetView tabSelected="1" zoomScaleNormal="100" workbookViewId="0">
      <pane ySplit="1" topLeftCell="A2" activePane="bottomLeft" state="frozen"/>
      <selection pane="bottomLeft" activeCell="D23" sqref="D23"/>
    </sheetView>
  </sheetViews>
  <sheetFormatPr defaultColWidth="8.86328125" defaultRowHeight="14.25" x14ac:dyDescent="0.45"/>
  <cols>
    <col min="1" max="1" width="3.265625" customWidth="1"/>
    <col min="2" max="2" width="8.86328125" customWidth="1"/>
    <col min="3" max="3" width="36.73046875" bestFit="1" customWidth="1"/>
    <col min="4" max="4" width="26" bestFit="1" customWidth="1"/>
    <col min="5" max="5" width="18.86328125" bestFit="1" customWidth="1"/>
    <col min="6" max="6" width="17.73046875" bestFit="1" customWidth="1"/>
    <col min="7" max="7" width="15.3984375" bestFit="1" customWidth="1"/>
    <col min="8" max="8" width="16" bestFit="1" customWidth="1"/>
    <col min="9" max="9" width="13.1328125" bestFit="1" customWidth="1"/>
    <col min="10" max="10" width="8.73046875" customWidth="1"/>
    <col min="11" max="11" width="2.265625" bestFit="1" customWidth="1"/>
    <col min="12" max="13" width="8.73046875" customWidth="1"/>
    <col min="14" max="14" width="2" bestFit="1" customWidth="1"/>
    <col min="15" max="16" width="8.73046875" customWidth="1"/>
    <col min="17" max="17" width="2" bestFit="1" customWidth="1"/>
    <col min="18" max="19" width="8.73046875" customWidth="1"/>
    <col min="20" max="20" width="6.73046875" bestFit="1" customWidth="1"/>
    <col min="21" max="21" width="6.73046875" customWidth="1"/>
    <col min="22" max="22" width="12.73046875" customWidth="1"/>
    <col min="23" max="23" width="6.73046875" customWidth="1"/>
    <col min="24" max="24" width="2.265625" bestFit="1" customWidth="1"/>
    <col min="25" max="25" width="6.86328125" customWidth="1"/>
    <col min="26" max="26" width="6.73046875" customWidth="1"/>
    <col min="27" max="27" width="2.265625" bestFit="1" customWidth="1"/>
    <col min="28" max="28" width="6.86328125" customWidth="1"/>
    <col min="29" max="29" width="6.73046875" customWidth="1"/>
    <col min="30" max="30" width="2.265625" bestFit="1" customWidth="1"/>
    <col min="31" max="31" width="6.86328125" customWidth="1"/>
    <col min="33" max="33" width="2" bestFit="1" customWidth="1"/>
    <col min="34" max="34" width="6.59765625" customWidth="1"/>
    <col min="35" max="35" width="9.73046875" bestFit="1" customWidth="1"/>
    <col min="36" max="36" width="9" customWidth="1"/>
    <col min="39" max="39" width="10.73046875" bestFit="1" customWidth="1"/>
  </cols>
  <sheetData>
    <row r="1" spans="1:40" ht="60" customHeight="1" x14ac:dyDescent="0.45">
      <c r="A1" s="69" t="s">
        <v>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</row>
    <row r="3" spans="1:40" ht="14.65" thickBot="1" x14ac:dyDescent="0.5"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40" ht="21.4" thickBot="1" x14ac:dyDescent="0.5">
      <c r="B4" s="2"/>
      <c r="C4" s="2"/>
      <c r="D4" s="2"/>
      <c r="E4" s="2"/>
      <c r="F4" s="2"/>
      <c r="G4" s="2"/>
      <c r="H4" s="3"/>
      <c r="I4" s="4" t="s">
        <v>2</v>
      </c>
      <c r="J4" s="58" t="s">
        <v>3</v>
      </c>
      <c r="K4" s="59"/>
      <c r="L4" s="59"/>
      <c r="M4" s="59"/>
      <c r="N4" s="59"/>
      <c r="O4" s="59"/>
      <c r="P4" s="59"/>
      <c r="Q4" s="59"/>
      <c r="R4" s="59"/>
      <c r="S4" s="60"/>
      <c r="T4" s="61" t="s">
        <v>4</v>
      </c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3"/>
      <c r="AJ4" s="58" t="s">
        <v>5</v>
      </c>
      <c r="AK4" s="59"/>
      <c r="AL4" s="64"/>
      <c r="AM4" s="65" t="s">
        <v>43</v>
      </c>
      <c r="AN4" s="60"/>
    </row>
    <row r="5" spans="1:40" ht="38.25" customHeight="1" x14ac:dyDescent="0.45">
      <c r="B5" s="5" t="s">
        <v>6</v>
      </c>
      <c r="C5" s="11" t="s">
        <v>22</v>
      </c>
      <c r="D5" s="6" t="s">
        <v>25</v>
      </c>
      <c r="E5" s="6" t="s">
        <v>7</v>
      </c>
      <c r="F5" s="6" t="s">
        <v>23</v>
      </c>
      <c r="G5" s="6" t="s">
        <v>24</v>
      </c>
      <c r="H5" s="6" t="s">
        <v>8</v>
      </c>
      <c r="I5" s="7" t="s">
        <v>9</v>
      </c>
      <c r="J5" s="66" t="s">
        <v>26</v>
      </c>
      <c r="K5" s="66"/>
      <c r="L5" s="66"/>
      <c r="M5" s="66" t="s">
        <v>10</v>
      </c>
      <c r="N5" s="66"/>
      <c r="O5" s="66"/>
      <c r="P5" s="67" t="s">
        <v>11</v>
      </c>
      <c r="Q5" s="67"/>
      <c r="R5" s="67"/>
      <c r="S5" s="8" t="s">
        <v>12</v>
      </c>
      <c r="T5" s="7" t="s">
        <v>35</v>
      </c>
      <c r="U5" s="7" t="s">
        <v>34</v>
      </c>
      <c r="V5" s="7" t="s">
        <v>27</v>
      </c>
      <c r="W5" s="66" t="s">
        <v>28</v>
      </c>
      <c r="X5" s="66"/>
      <c r="Y5" s="66"/>
      <c r="Z5" s="66" t="s">
        <v>29</v>
      </c>
      <c r="AA5" s="66"/>
      <c r="AB5" s="66"/>
      <c r="AC5" s="66" t="s">
        <v>30</v>
      </c>
      <c r="AD5" s="66"/>
      <c r="AE5" s="66"/>
      <c r="AF5" s="68" t="s">
        <v>13</v>
      </c>
      <c r="AG5" s="68"/>
      <c r="AH5" s="68"/>
      <c r="AI5" s="12" t="s">
        <v>12</v>
      </c>
      <c r="AJ5" s="13" t="s">
        <v>14</v>
      </c>
      <c r="AK5" s="13" t="s">
        <v>15</v>
      </c>
      <c r="AL5" s="23" t="s">
        <v>16</v>
      </c>
      <c r="AM5" s="24"/>
      <c r="AN5" s="25"/>
    </row>
    <row r="6" spans="1:40" ht="15" customHeight="1" x14ac:dyDescent="0.45">
      <c r="B6" s="54"/>
      <c r="C6" s="56"/>
      <c r="D6" s="56"/>
      <c r="E6" s="43" t="s">
        <v>31</v>
      </c>
      <c r="F6" s="71" t="s">
        <v>44</v>
      </c>
      <c r="G6" s="43" t="s">
        <v>32</v>
      </c>
      <c r="H6" s="45" t="s">
        <v>17</v>
      </c>
      <c r="I6" s="15">
        <v>3</v>
      </c>
      <c r="J6" s="16">
        <v>203</v>
      </c>
      <c r="K6" s="14" t="s">
        <v>18</v>
      </c>
      <c r="L6" s="16">
        <v>254</v>
      </c>
      <c r="M6" s="21">
        <f t="shared" ref="M6:M11" si="0">J6+(I6+I6)</f>
        <v>209</v>
      </c>
      <c r="N6" s="16" t="s">
        <v>18</v>
      </c>
      <c r="O6" s="21">
        <f>L6+(I6+I6)</f>
        <v>260</v>
      </c>
      <c r="P6" s="33">
        <v>20</v>
      </c>
      <c r="Q6" s="33" t="s">
        <v>19</v>
      </c>
      <c r="R6" s="33">
        <v>40</v>
      </c>
      <c r="S6" s="17" t="s">
        <v>42</v>
      </c>
      <c r="T6" s="18">
        <v>6.76</v>
      </c>
      <c r="U6" s="18" t="s">
        <v>36</v>
      </c>
      <c r="V6" s="19">
        <v>20</v>
      </c>
      <c r="W6" s="16">
        <f>J6-4</f>
        <v>199</v>
      </c>
      <c r="X6" s="16" t="s">
        <v>18</v>
      </c>
      <c r="Y6" s="16">
        <f>L6+(I6+I6)</f>
        <v>260</v>
      </c>
      <c r="Z6" s="16">
        <f>(W6+$AK$6)*2+T6</f>
        <v>426.76</v>
      </c>
      <c r="AA6" s="16" t="s">
        <v>18</v>
      </c>
      <c r="AB6" s="16">
        <f>L6+(I6+I6)</f>
        <v>260</v>
      </c>
      <c r="AC6" s="18">
        <f>Z6+(V6+V6)</f>
        <v>466.76</v>
      </c>
      <c r="AD6" s="16" t="s">
        <v>18</v>
      </c>
      <c r="AE6" s="19">
        <f>AB6+(V6+V6)</f>
        <v>300</v>
      </c>
      <c r="AF6" s="22">
        <f>AC6+(I6+I6)</f>
        <v>472.76</v>
      </c>
      <c r="AG6" s="16" t="s">
        <v>18</v>
      </c>
      <c r="AH6" s="21">
        <f>AE6+(I6+I6)</f>
        <v>306</v>
      </c>
      <c r="AI6" s="17" t="s">
        <v>20</v>
      </c>
      <c r="AJ6" s="48" t="s">
        <v>21</v>
      </c>
      <c r="AK6" s="50">
        <v>11</v>
      </c>
      <c r="AL6" s="52" t="s">
        <v>33</v>
      </c>
      <c r="AM6" s="37" t="s">
        <v>0</v>
      </c>
      <c r="AN6" s="38"/>
    </row>
    <row r="7" spans="1:40" x14ac:dyDescent="0.45">
      <c r="B7" s="54"/>
      <c r="C7" s="56"/>
      <c r="D7" s="56"/>
      <c r="E7" s="43"/>
      <c r="F7" s="71"/>
      <c r="G7" s="43"/>
      <c r="H7" s="46"/>
      <c r="I7" s="20">
        <f>$I$6</f>
        <v>3</v>
      </c>
      <c r="J7" s="16">
        <f>$J$6</f>
        <v>203</v>
      </c>
      <c r="K7" s="14" t="s">
        <v>18</v>
      </c>
      <c r="L7" s="16">
        <f>$L$6</f>
        <v>254</v>
      </c>
      <c r="M7" s="21">
        <f t="shared" si="0"/>
        <v>209</v>
      </c>
      <c r="N7" s="16" t="s">
        <v>18</v>
      </c>
      <c r="O7" s="21">
        <f t="shared" ref="O7:O11" si="1">L7+(I7+I7)</f>
        <v>260</v>
      </c>
      <c r="P7" s="33">
        <v>42</v>
      </c>
      <c r="Q7" s="33" t="s">
        <v>19</v>
      </c>
      <c r="R7" s="33">
        <v>80</v>
      </c>
      <c r="S7" s="17" t="s">
        <v>42</v>
      </c>
      <c r="T7" s="18">
        <v>11.25</v>
      </c>
      <c r="U7" s="18" t="s">
        <v>37</v>
      </c>
      <c r="V7" s="19">
        <v>20</v>
      </c>
      <c r="W7" s="16">
        <f t="shared" ref="W7:W11" si="2">J7-4</f>
        <v>199</v>
      </c>
      <c r="X7" s="16" t="s">
        <v>18</v>
      </c>
      <c r="Y7" s="16">
        <f t="shared" ref="Y7:Y11" si="3">L7+(I7+I7)</f>
        <v>260</v>
      </c>
      <c r="Z7" s="16">
        <f t="shared" ref="Z7:Z11" si="4">(W7+$AK$6)*2+T7</f>
        <v>431.25</v>
      </c>
      <c r="AA7" s="16" t="s">
        <v>18</v>
      </c>
      <c r="AB7" s="16">
        <f t="shared" ref="AB7:AB11" si="5">L7+(I7+I7)</f>
        <v>260</v>
      </c>
      <c r="AC7" s="18">
        <f t="shared" ref="AC7:AC11" si="6">Z7+(V7+V7)</f>
        <v>471.25</v>
      </c>
      <c r="AD7" s="16" t="s">
        <v>18</v>
      </c>
      <c r="AE7" s="19">
        <f t="shared" ref="AE7:AE11" si="7">AB7+(V7+V7)</f>
        <v>300</v>
      </c>
      <c r="AF7" s="22">
        <f t="shared" ref="AF7:AF11" si="8">AC7+(I7+I7)</f>
        <v>477.25</v>
      </c>
      <c r="AG7" s="16" t="s">
        <v>18</v>
      </c>
      <c r="AH7" s="21">
        <f t="shared" ref="AH7:AH11" si="9">AE7+(I7+I7)</f>
        <v>306</v>
      </c>
      <c r="AI7" s="17" t="s">
        <v>20</v>
      </c>
      <c r="AJ7" s="48"/>
      <c r="AK7" s="50"/>
      <c r="AL7" s="52"/>
      <c r="AM7" s="39"/>
      <c r="AN7" s="40"/>
    </row>
    <row r="8" spans="1:40" x14ac:dyDescent="0.45">
      <c r="B8" s="54"/>
      <c r="C8" s="56"/>
      <c r="D8" s="56"/>
      <c r="E8" s="43"/>
      <c r="F8" s="71"/>
      <c r="G8" s="43"/>
      <c r="H8" s="46"/>
      <c r="I8" s="20">
        <f t="shared" ref="I8:I9" si="10">$I$6</f>
        <v>3</v>
      </c>
      <c r="J8" s="16">
        <f t="shared" ref="J8:J9" si="11">$J$6</f>
        <v>203</v>
      </c>
      <c r="K8" s="14" t="s">
        <v>18</v>
      </c>
      <c r="L8" s="16">
        <f t="shared" ref="L8:L9" si="12">$L$6</f>
        <v>254</v>
      </c>
      <c r="M8" s="21">
        <f t="shared" si="0"/>
        <v>209</v>
      </c>
      <c r="N8" s="16"/>
      <c r="O8" s="21">
        <f t="shared" si="1"/>
        <v>260</v>
      </c>
      <c r="P8" s="33">
        <v>82</v>
      </c>
      <c r="Q8" s="33" t="s">
        <v>19</v>
      </c>
      <c r="R8" s="33">
        <v>120</v>
      </c>
      <c r="S8" s="17" t="s">
        <v>42</v>
      </c>
      <c r="T8" s="18">
        <v>15.75</v>
      </c>
      <c r="U8" s="18" t="s">
        <v>38</v>
      </c>
      <c r="V8" s="19">
        <v>20</v>
      </c>
      <c r="W8" s="16">
        <f t="shared" si="2"/>
        <v>199</v>
      </c>
      <c r="X8" s="16" t="s">
        <v>18</v>
      </c>
      <c r="Y8" s="16">
        <f t="shared" si="3"/>
        <v>260</v>
      </c>
      <c r="Z8" s="16">
        <f t="shared" si="4"/>
        <v>435.75</v>
      </c>
      <c r="AA8" s="16" t="s">
        <v>18</v>
      </c>
      <c r="AB8" s="16">
        <f t="shared" si="5"/>
        <v>260</v>
      </c>
      <c r="AC8" s="18">
        <f t="shared" si="6"/>
        <v>475.75</v>
      </c>
      <c r="AD8" s="16" t="s">
        <v>18</v>
      </c>
      <c r="AE8" s="19">
        <f t="shared" si="7"/>
        <v>300</v>
      </c>
      <c r="AF8" s="22">
        <f t="shared" si="8"/>
        <v>481.75</v>
      </c>
      <c r="AG8" s="16" t="s">
        <v>18</v>
      </c>
      <c r="AH8" s="21">
        <f t="shared" si="9"/>
        <v>306</v>
      </c>
      <c r="AI8" s="17" t="s">
        <v>20</v>
      </c>
      <c r="AJ8" s="48"/>
      <c r="AK8" s="50"/>
      <c r="AL8" s="52"/>
      <c r="AM8" s="39"/>
      <c r="AN8" s="40"/>
    </row>
    <row r="9" spans="1:40" x14ac:dyDescent="0.45">
      <c r="B9" s="54"/>
      <c r="C9" s="56"/>
      <c r="D9" s="56"/>
      <c r="E9" s="43"/>
      <c r="F9" s="71"/>
      <c r="G9" s="43"/>
      <c r="H9" s="46"/>
      <c r="I9" s="20">
        <f t="shared" si="10"/>
        <v>3</v>
      </c>
      <c r="J9" s="16">
        <f t="shared" si="11"/>
        <v>203</v>
      </c>
      <c r="K9" s="14" t="s">
        <v>18</v>
      </c>
      <c r="L9" s="16">
        <f t="shared" si="12"/>
        <v>254</v>
      </c>
      <c r="M9" s="21">
        <f t="shared" si="0"/>
        <v>209</v>
      </c>
      <c r="N9" s="16"/>
      <c r="O9" s="21">
        <f t="shared" si="1"/>
        <v>260</v>
      </c>
      <c r="P9" s="33">
        <v>122</v>
      </c>
      <c r="Q9" s="33" t="s">
        <v>19</v>
      </c>
      <c r="R9" s="33">
        <v>160</v>
      </c>
      <c r="S9" s="17" t="s">
        <v>42</v>
      </c>
      <c r="T9" s="18">
        <v>20.239999999999998</v>
      </c>
      <c r="U9" s="18" t="s">
        <v>39</v>
      </c>
      <c r="V9" s="19">
        <v>20</v>
      </c>
      <c r="W9" s="16">
        <f t="shared" si="2"/>
        <v>199</v>
      </c>
      <c r="X9" s="16" t="s">
        <v>18</v>
      </c>
      <c r="Y9" s="16">
        <f t="shared" si="3"/>
        <v>260</v>
      </c>
      <c r="Z9" s="16">
        <f t="shared" si="4"/>
        <v>440.24</v>
      </c>
      <c r="AA9" s="16" t="s">
        <v>18</v>
      </c>
      <c r="AB9" s="16">
        <f t="shared" si="5"/>
        <v>260</v>
      </c>
      <c r="AC9" s="18">
        <f t="shared" si="6"/>
        <v>480.24</v>
      </c>
      <c r="AD9" s="16" t="s">
        <v>18</v>
      </c>
      <c r="AE9" s="19">
        <f t="shared" si="7"/>
        <v>300</v>
      </c>
      <c r="AF9" s="22">
        <f t="shared" si="8"/>
        <v>486.24</v>
      </c>
      <c r="AG9" s="16" t="s">
        <v>18</v>
      </c>
      <c r="AH9" s="21">
        <f t="shared" si="9"/>
        <v>306</v>
      </c>
      <c r="AI9" s="17" t="s">
        <v>20</v>
      </c>
      <c r="AJ9" s="48"/>
      <c r="AK9" s="50"/>
      <c r="AL9" s="52"/>
      <c r="AM9" s="39"/>
      <c r="AN9" s="40"/>
    </row>
    <row r="10" spans="1:40" x14ac:dyDescent="0.45">
      <c r="B10" s="54"/>
      <c r="C10" s="56"/>
      <c r="D10" s="56"/>
      <c r="E10" s="43"/>
      <c r="F10" s="71"/>
      <c r="G10" s="43"/>
      <c r="H10" s="46"/>
      <c r="I10" s="20">
        <f>$I$6</f>
        <v>3</v>
      </c>
      <c r="J10" s="16">
        <f>$J$6</f>
        <v>203</v>
      </c>
      <c r="K10" s="14" t="s">
        <v>18</v>
      </c>
      <c r="L10" s="16">
        <f>$L$6</f>
        <v>254</v>
      </c>
      <c r="M10" s="21">
        <f t="shared" si="0"/>
        <v>209</v>
      </c>
      <c r="N10" s="16" t="s">
        <v>18</v>
      </c>
      <c r="O10" s="21">
        <f t="shared" si="1"/>
        <v>260</v>
      </c>
      <c r="P10" s="33">
        <v>162</v>
      </c>
      <c r="Q10" s="33" t="s">
        <v>19</v>
      </c>
      <c r="R10" s="33">
        <v>200</v>
      </c>
      <c r="S10" s="17" t="s">
        <v>42</v>
      </c>
      <c r="T10" s="18">
        <v>24.74</v>
      </c>
      <c r="U10" s="18" t="s">
        <v>40</v>
      </c>
      <c r="V10" s="19">
        <v>20</v>
      </c>
      <c r="W10" s="16">
        <f t="shared" si="2"/>
        <v>199</v>
      </c>
      <c r="X10" s="16" t="s">
        <v>18</v>
      </c>
      <c r="Y10" s="16">
        <f t="shared" si="3"/>
        <v>260</v>
      </c>
      <c r="Z10" s="16">
        <f t="shared" si="4"/>
        <v>444.74</v>
      </c>
      <c r="AA10" s="16" t="s">
        <v>18</v>
      </c>
      <c r="AB10" s="16">
        <f t="shared" si="5"/>
        <v>260</v>
      </c>
      <c r="AC10" s="18">
        <f t="shared" si="6"/>
        <v>484.74</v>
      </c>
      <c r="AD10" s="16" t="s">
        <v>18</v>
      </c>
      <c r="AE10" s="19">
        <f t="shared" si="7"/>
        <v>300</v>
      </c>
      <c r="AF10" s="22">
        <f t="shared" si="8"/>
        <v>490.74</v>
      </c>
      <c r="AG10" s="16" t="s">
        <v>18</v>
      </c>
      <c r="AH10" s="21">
        <f t="shared" si="9"/>
        <v>306</v>
      </c>
      <c r="AI10" s="17" t="s">
        <v>20</v>
      </c>
      <c r="AJ10" s="48"/>
      <c r="AK10" s="50"/>
      <c r="AL10" s="52"/>
      <c r="AM10" s="39"/>
      <c r="AN10" s="40"/>
    </row>
    <row r="11" spans="1:40" ht="14.65" thickBot="1" x14ac:dyDescent="0.5">
      <c r="B11" s="55"/>
      <c r="C11" s="57"/>
      <c r="D11" s="57"/>
      <c r="E11" s="44"/>
      <c r="F11" s="72"/>
      <c r="G11" s="44"/>
      <c r="H11" s="47"/>
      <c r="I11" s="26">
        <f>$I$6</f>
        <v>3</v>
      </c>
      <c r="J11" s="27">
        <f>$J$6</f>
        <v>203</v>
      </c>
      <c r="K11" s="9" t="s">
        <v>18</v>
      </c>
      <c r="L11" s="27">
        <f>$L$6</f>
        <v>254</v>
      </c>
      <c r="M11" s="28">
        <f t="shared" si="0"/>
        <v>209</v>
      </c>
      <c r="N11" s="27" t="s">
        <v>18</v>
      </c>
      <c r="O11" s="28">
        <f t="shared" si="1"/>
        <v>260</v>
      </c>
      <c r="P11" s="27">
        <v>202</v>
      </c>
      <c r="Q11" s="9" t="s">
        <v>19</v>
      </c>
      <c r="R11" s="27">
        <v>242</v>
      </c>
      <c r="S11" s="29" t="s">
        <v>42</v>
      </c>
      <c r="T11" s="30">
        <v>29.24</v>
      </c>
      <c r="U11" s="30" t="s">
        <v>41</v>
      </c>
      <c r="V11" s="31">
        <v>20</v>
      </c>
      <c r="W11" s="27">
        <f t="shared" si="2"/>
        <v>199</v>
      </c>
      <c r="X11" s="27" t="s">
        <v>18</v>
      </c>
      <c r="Y11" s="27">
        <f t="shared" si="3"/>
        <v>260</v>
      </c>
      <c r="Z11" s="27">
        <f t="shared" si="4"/>
        <v>449.24</v>
      </c>
      <c r="AA11" s="27" t="s">
        <v>18</v>
      </c>
      <c r="AB11" s="27">
        <f t="shared" si="5"/>
        <v>260</v>
      </c>
      <c r="AC11" s="30">
        <f t="shared" si="6"/>
        <v>489.24</v>
      </c>
      <c r="AD11" s="27" t="s">
        <v>18</v>
      </c>
      <c r="AE11" s="31">
        <f t="shared" si="7"/>
        <v>300</v>
      </c>
      <c r="AF11" s="32">
        <f t="shared" si="8"/>
        <v>495.24</v>
      </c>
      <c r="AG11" s="27" t="s">
        <v>18</v>
      </c>
      <c r="AH11" s="28">
        <f t="shared" si="9"/>
        <v>306</v>
      </c>
      <c r="AI11" s="29" t="s">
        <v>20</v>
      </c>
      <c r="AJ11" s="49"/>
      <c r="AK11" s="51"/>
      <c r="AL11" s="53"/>
      <c r="AM11" s="41"/>
      <c r="AN11" s="42"/>
    </row>
    <row r="12" spans="1:40" ht="14.65" thickBot="1" x14ac:dyDescent="0.5">
      <c r="D12" s="10"/>
    </row>
    <row r="13" spans="1:40" ht="21.4" thickBot="1" x14ac:dyDescent="0.5">
      <c r="B13" s="2"/>
      <c r="C13" s="2"/>
      <c r="D13" s="2"/>
      <c r="E13" s="2"/>
      <c r="F13" s="2"/>
      <c r="G13" s="2"/>
      <c r="H13" s="3"/>
      <c r="I13" s="4" t="s">
        <v>2</v>
      </c>
      <c r="J13" s="58" t="s">
        <v>3</v>
      </c>
      <c r="K13" s="59"/>
      <c r="L13" s="59"/>
      <c r="M13" s="59"/>
      <c r="N13" s="59"/>
      <c r="O13" s="59"/>
      <c r="P13" s="59"/>
      <c r="Q13" s="59"/>
      <c r="R13" s="59"/>
      <c r="S13" s="60"/>
      <c r="T13" s="61" t="s">
        <v>4</v>
      </c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3"/>
      <c r="AJ13" s="58" t="s">
        <v>5</v>
      </c>
      <c r="AK13" s="59"/>
      <c r="AL13" s="64"/>
      <c r="AM13" s="65" t="s">
        <v>43</v>
      </c>
      <c r="AN13" s="60"/>
    </row>
    <row r="14" spans="1:40" ht="38.25" customHeight="1" x14ac:dyDescent="0.45">
      <c r="B14" s="5" t="s">
        <v>6</v>
      </c>
      <c r="C14" s="11" t="s">
        <v>22</v>
      </c>
      <c r="D14" s="6" t="s">
        <v>25</v>
      </c>
      <c r="E14" s="6" t="s">
        <v>7</v>
      </c>
      <c r="F14" s="6" t="s">
        <v>23</v>
      </c>
      <c r="G14" s="6" t="s">
        <v>24</v>
      </c>
      <c r="H14" s="6" t="s">
        <v>8</v>
      </c>
      <c r="I14" s="7" t="s">
        <v>9</v>
      </c>
      <c r="J14" s="66" t="s">
        <v>26</v>
      </c>
      <c r="K14" s="66"/>
      <c r="L14" s="66"/>
      <c r="M14" s="66" t="s">
        <v>10</v>
      </c>
      <c r="N14" s="66"/>
      <c r="O14" s="66"/>
      <c r="P14" s="67" t="s">
        <v>11</v>
      </c>
      <c r="Q14" s="67"/>
      <c r="R14" s="67"/>
      <c r="S14" s="8" t="s">
        <v>12</v>
      </c>
      <c r="T14" s="7" t="s">
        <v>35</v>
      </c>
      <c r="U14" s="7" t="s">
        <v>34</v>
      </c>
      <c r="V14" s="7" t="s">
        <v>27</v>
      </c>
      <c r="W14" s="66" t="s">
        <v>28</v>
      </c>
      <c r="X14" s="66"/>
      <c r="Y14" s="66"/>
      <c r="Z14" s="66" t="s">
        <v>29</v>
      </c>
      <c r="AA14" s="66"/>
      <c r="AB14" s="66"/>
      <c r="AC14" s="66" t="s">
        <v>30</v>
      </c>
      <c r="AD14" s="66"/>
      <c r="AE14" s="66"/>
      <c r="AF14" s="68" t="s">
        <v>13</v>
      </c>
      <c r="AG14" s="68"/>
      <c r="AH14" s="68"/>
      <c r="AI14" s="12" t="s">
        <v>12</v>
      </c>
      <c r="AJ14" s="13" t="s">
        <v>14</v>
      </c>
      <c r="AK14" s="13" t="s">
        <v>15</v>
      </c>
      <c r="AL14" s="23" t="s">
        <v>16</v>
      </c>
      <c r="AM14" s="24"/>
      <c r="AN14" s="25"/>
    </row>
    <row r="15" spans="1:40" ht="15" customHeight="1" x14ac:dyDescent="0.45">
      <c r="B15" s="54"/>
      <c r="C15" s="56"/>
      <c r="D15" s="56"/>
      <c r="E15" s="43" t="s">
        <v>31</v>
      </c>
      <c r="F15" s="71" t="s">
        <v>45</v>
      </c>
      <c r="G15" s="43" t="s">
        <v>32</v>
      </c>
      <c r="H15" s="45" t="s">
        <v>17</v>
      </c>
      <c r="I15" s="15">
        <v>3</v>
      </c>
      <c r="J15" s="16">
        <v>203</v>
      </c>
      <c r="K15" s="14" t="s">
        <v>18</v>
      </c>
      <c r="L15" s="16">
        <v>254</v>
      </c>
      <c r="M15" s="21">
        <f t="shared" ref="M15:M20" si="13">J15+(I15+I15)</f>
        <v>209</v>
      </c>
      <c r="N15" s="16" t="s">
        <v>18</v>
      </c>
      <c r="O15" s="21">
        <f>L15+(I15+I15)</f>
        <v>260</v>
      </c>
      <c r="P15" s="33">
        <v>20</v>
      </c>
      <c r="Q15" s="33" t="s">
        <v>19</v>
      </c>
      <c r="R15" s="33">
        <v>50</v>
      </c>
      <c r="S15" s="17" t="s">
        <v>42</v>
      </c>
      <c r="T15" s="18">
        <v>6.76</v>
      </c>
      <c r="U15" s="18" t="s">
        <v>36</v>
      </c>
      <c r="V15" s="19">
        <v>20</v>
      </c>
      <c r="W15" s="16">
        <f>J15-4</f>
        <v>199</v>
      </c>
      <c r="X15" s="16" t="s">
        <v>18</v>
      </c>
      <c r="Y15" s="16">
        <f>L15+(I15+I15)</f>
        <v>260</v>
      </c>
      <c r="Z15" s="16">
        <f>(W15+$AK$6)*2+T15</f>
        <v>426.76</v>
      </c>
      <c r="AA15" s="16" t="s">
        <v>18</v>
      </c>
      <c r="AB15" s="16">
        <f>L15+(I15+I15)</f>
        <v>260</v>
      </c>
      <c r="AC15" s="18">
        <f>Z15+(V15+V15)</f>
        <v>466.76</v>
      </c>
      <c r="AD15" s="16" t="s">
        <v>18</v>
      </c>
      <c r="AE15" s="19">
        <f>AB15+(V15+V15)</f>
        <v>300</v>
      </c>
      <c r="AF15" s="22">
        <f>AC15+(I15+I15)</f>
        <v>472.76</v>
      </c>
      <c r="AG15" s="16" t="s">
        <v>18</v>
      </c>
      <c r="AH15" s="21">
        <f>AE15+(I15+I15)</f>
        <v>306</v>
      </c>
      <c r="AI15" s="17" t="s">
        <v>20</v>
      </c>
      <c r="AJ15" s="48" t="s">
        <v>21</v>
      </c>
      <c r="AK15" s="50">
        <v>11</v>
      </c>
      <c r="AL15" s="52" t="s">
        <v>33</v>
      </c>
      <c r="AM15" s="37" t="s">
        <v>0</v>
      </c>
      <c r="AN15" s="38"/>
    </row>
    <row r="16" spans="1:40" x14ac:dyDescent="0.45">
      <c r="B16" s="54"/>
      <c r="C16" s="56"/>
      <c r="D16" s="56"/>
      <c r="E16" s="43"/>
      <c r="F16" s="71"/>
      <c r="G16" s="43"/>
      <c r="H16" s="46"/>
      <c r="I16" s="20">
        <f>$I$6</f>
        <v>3</v>
      </c>
      <c r="J16" s="16">
        <f>$J$6</f>
        <v>203</v>
      </c>
      <c r="K16" s="14" t="s">
        <v>18</v>
      </c>
      <c r="L16" s="16">
        <f>$L$6</f>
        <v>254</v>
      </c>
      <c r="M16" s="21">
        <f t="shared" si="13"/>
        <v>209</v>
      </c>
      <c r="N16" s="16" t="s">
        <v>18</v>
      </c>
      <c r="O16" s="21">
        <f t="shared" ref="O16:O20" si="14">L16+(I16+I16)</f>
        <v>260</v>
      </c>
      <c r="P16" s="33">
        <v>52</v>
      </c>
      <c r="Q16" s="33" t="s">
        <v>19</v>
      </c>
      <c r="R16" s="33">
        <v>100</v>
      </c>
      <c r="S16" s="17" t="s">
        <v>42</v>
      </c>
      <c r="T16" s="18">
        <v>11.25</v>
      </c>
      <c r="U16" s="18" t="s">
        <v>37</v>
      </c>
      <c r="V16" s="19">
        <v>20</v>
      </c>
      <c r="W16" s="16">
        <f t="shared" ref="W16:W20" si="15">J16-4</f>
        <v>199</v>
      </c>
      <c r="X16" s="16" t="s">
        <v>18</v>
      </c>
      <c r="Y16" s="16">
        <f t="shared" ref="Y16:Y20" si="16">L16+(I16+I16)</f>
        <v>260</v>
      </c>
      <c r="Z16" s="16">
        <f t="shared" ref="Z16:Z20" si="17">(W16+$AK$6)*2+T16</f>
        <v>431.25</v>
      </c>
      <c r="AA16" s="16" t="s">
        <v>18</v>
      </c>
      <c r="AB16" s="16">
        <f t="shared" ref="AB16:AB20" si="18">L16+(I16+I16)</f>
        <v>260</v>
      </c>
      <c r="AC16" s="18">
        <f t="shared" ref="AC16:AC20" si="19">Z16+(V16+V16)</f>
        <v>471.25</v>
      </c>
      <c r="AD16" s="16" t="s">
        <v>18</v>
      </c>
      <c r="AE16" s="19">
        <f t="shared" ref="AE16:AE20" si="20">AB16+(V16+V16)</f>
        <v>300</v>
      </c>
      <c r="AF16" s="22">
        <f t="shared" ref="AF16:AF20" si="21">AC16+(I16+I16)</f>
        <v>477.25</v>
      </c>
      <c r="AG16" s="16" t="s">
        <v>18</v>
      </c>
      <c r="AH16" s="21">
        <f t="shared" ref="AH16:AH20" si="22">AE16+(I16+I16)</f>
        <v>306</v>
      </c>
      <c r="AI16" s="17" t="s">
        <v>20</v>
      </c>
      <c r="AJ16" s="48"/>
      <c r="AK16" s="50"/>
      <c r="AL16" s="52"/>
      <c r="AM16" s="39"/>
      <c r="AN16" s="40"/>
    </row>
    <row r="17" spans="2:40" x14ac:dyDescent="0.45">
      <c r="B17" s="54"/>
      <c r="C17" s="56"/>
      <c r="D17" s="56"/>
      <c r="E17" s="43"/>
      <c r="F17" s="71"/>
      <c r="G17" s="43"/>
      <c r="H17" s="46"/>
      <c r="I17" s="20">
        <f t="shared" ref="I17:I18" si="23">$I$6</f>
        <v>3</v>
      </c>
      <c r="J17" s="16">
        <f t="shared" ref="J17:J18" si="24">$J$6</f>
        <v>203</v>
      </c>
      <c r="K17" s="14" t="s">
        <v>18</v>
      </c>
      <c r="L17" s="16">
        <f t="shared" ref="L17:L18" si="25">$L$6</f>
        <v>254</v>
      </c>
      <c r="M17" s="21">
        <f t="shared" si="13"/>
        <v>209</v>
      </c>
      <c r="N17" s="16"/>
      <c r="O17" s="21">
        <f t="shared" si="14"/>
        <v>260</v>
      </c>
      <c r="P17" s="33">
        <v>105</v>
      </c>
      <c r="Q17" s="33" t="s">
        <v>19</v>
      </c>
      <c r="R17" s="33">
        <v>150</v>
      </c>
      <c r="S17" s="17" t="s">
        <v>42</v>
      </c>
      <c r="T17" s="18">
        <v>15.75</v>
      </c>
      <c r="U17" s="18" t="s">
        <v>38</v>
      </c>
      <c r="V17" s="19">
        <v>20</v>
      </c>
      <c r="W17" s="16">
        <f t="shared" si="15"/>
        <v>199</v>
      </c>
      <c r="X17" s="16" t="s">
        <v>18</v>
      </c>
      <c r="Y17" s="16">
        <f t="shared" si="16"/>
        <v>260</v>
      </c>
      <c r="Z17" s="16">
        <f t="shared" si="17"/>
        <v>435.75</v>
      </c>
      <c r="AA17" s="16" t="s">
        <v>18</v>
      </c>
      <c r="AB17" s="16">
        <f t="shared" si="18"/>
        <v>260</v>
      </c>
      <c r="AC17" s="18">
        <f t="shared" si="19"/>
        <v>475.75</v>
      </c>
      <c r="AD17" s="16" t="s">
        <v>18</v>
      </c>
      <c r="AE17" s="19">
        <f t="shared" si="20"/>
        <v>300</v>
      </c>
      <c r="AF17" s="22">
        <f t="shared" si="21"/>
        <v>481.75</v>
      </c>
      <c r="AG17" s="16" t="s">
        <v>18</v>
      </c>
      <c r="AH17" s="21">
        <f t="shared" si="22"/>
        <v>306</v>
      </c>
      <c r="AI17" s="17" t="s">
        <v>20</v>
      </c>
      <c r="AJ17" s="48"/>
      <c r="AK17" s="50"/>
      <c r="AL17" s="52"/>
      <c r="AM17" s="39"/>
      <c r="AN17" s="40"/>
    </row>
    <row r="18" spans="2:40" x14ac:dyDescent="0.45">
      <c r="B18" s="54"/>
      <c r="C18" s="56"/>
      <c r="D18" s="56"/>
      <c r="E18" s="43"/>
      <c r="F18" s="71"/>
      <c r="G18" s="43"/>
      <c r="H18" s="46"/>
      <c r="I18" s="20">
        <f t="shared" si="23"/>
        <v>3</v>
      </c>
      <c r="J18" s="16">
        <f t="shared" si="24"/>
        <v>203</v>
      </c>
      <c r="K18" s="14" t="s">
        <v>18</v>
      </c>
      <c r="L18" s="16">
        <f t="shared" si="25"/>
        <v>254</v>
      </c>
      <c r="M18" s="21">
        <f t="shared" si="13"/>
        <v>209</v>
      </c>
      <c r="N18" s="16"/>
      <c r="O18" s="21">
        <f t="shared" si="14"/>
        <v>260</v>
      </c>
      <c r="P18" s="33">
        <v>152</v>
      </c>
      <c r="Q18" s="33" t="s">
        <v>19</v>
      </c>
      <c r="R18" s="33">
        <v>200</v>
      </c>
      <c r="S18" s="17" t="s">
        <v>42</v>
      </c>
      <c r="T18" s="18">
        <v>20.239999999999998</v>
      </c>
      <c r="U18" s="18" t="s">
        <v>39</v>
      </c>
      <c r="V18" s="19">
        <v>20</v>
      </c>
      <c r="W18" s="16">
        <f t="shared" si="15"/>
        <v>199</v>
      </c>
      <c r="X18" s="16" t="s">
        <v>18</v>
      </c>
      <c r="Y18" s="16">
        <f t="shared" si="16"/>
        <v>260</v>
      </c>
      <c r="Z18" s="16">
        <f t="shared" si="17"/>
        <v>440.24</v>
      </c>
      <c r="AA18" s="16" t="s">
        <v>18</v>
      </c>
      <c r="AB18" s="16">
        <f t="shared" si="18"/>
        <v>260</v>
      </c>
      <c r="AC18" s="18">
        <f t="shared" si="19"/>
        <v>480.24</v>
      </c>
      <c r="AD18" s="16" t="s">
        <v>18</v>
      </c>
      <c r="AE18" s="19">
        <f t="shared" si="20"/>
        <v>300</v>
      </c>
      <c r="AF18" s="22">
        <f t="shared" si="21"/>
        <v>486.24</v>
      </c>
      <c r="AG18" s="16" t="s">
        <v>18</v>
      </c>
      <c r="AH18" s="21">
        <f t="shared" si="22"/>
        <v>306</v>
      </c>
      <c r="AI18" s="17" t="s">
        <v>20</v>
      </c>
      <c r="AJ18" s="48"/>
      <c r="AK18" s="50"/>
      <c r="AL18" s="52"/>
      <c r="AM18" s="39"/>
      <c r="AN18" s="40"/>
    </row>
    <row r="19" spans="2:40" x14ac:dyDescent="0.45">
      <c r="B19" s="54"/>
      <c r="C19" s="56"/>
      <c r="D19" s="56"/>
      <c r="E19" s="43"/>
      <c r="F19" s="71"/>
      <c r="G19" s="43"/>
      <c r="H19" s="46"/>
      <c r="I19" s="20">
        <f>$I$6</f>
        <v>3</v>
      </c>
      <c r="J19" s="16">
        <f>$J$6</f>
        <v>203</v>
      </c>
      <c r="K19" s="14" t="s">
        <v>18</v>
      </c>
      <c r="L19" s="16">
        <f>$L$6</f>
        <v>254</v>
      </c>
      <c r="M19" s="21">
        <f t="shared" si="13"/>
        <v>209</v>
      </c>
      <c r="N19" s="16" t="s">
        <v>18</v>
      </c>
      <c r="O19" s="21">
        <f t="shared" si="14"/>
        <v>260</v>
      </c>
      <c r="P19" s="33">
        <v>202</v>
      </c>
      <c r="Q19" s="33" t="s">
        <v>19</v>
      </c>
      <c r="R19" s="33">
        <v>250</v>
      </c>
      <c r="S19" s="17" t="s">
        <v>42</v>
      </c>
      <c r="T19" s="18">
        <v>24.74</v>
      </c>
      <c r="U19" s="18" t="s">
        <v>40</v>
      </c>
      <c r="V19" s="19">
        <v>20</v>
      </c>
      <c r="W19" s="16">
        <f t="shared" si="15"/>
        <v>199</v>
      </c>
      <c r="X19" s="16" t="s">
        <v>18</v>
      </c>
      <c r="Y19" s="16">
        <f t="shared" si="16"/>
        <v>260</v>
      </c>
      <c r="Z19" s="16">
        <f t="shared" si="17"/>
        <v>444.74</v>
      </c>
      <c r="AA19" s="16" t="s">
        <v>18</v>
      </c>
      <c r="AB19" s="16">
        <f t="shared" si="18"/>
        <v>260</v>
      </c>
      <c r="AC19" s="18">
        <f t="shared" si="19"/>
        <v>484.74</v>
      </c>
      <c r="AD19" s="16" t="s">
        <v>18</v>
      </c>
      <c r="AE19" s="19">
        <f t="shared" si="20"/>
        <v>300</v>
      </c>
      <c r="AF19" s="22">
        <f t="shared" si="21"/>
        <v>490.74</v>
      </c>
      <c r="AG19" s="16" t="s">
        <v>18</v>
      </c>
      <c r="AH19" s="21">
        <f t="shared" si="22"/>
        <v>306</v>
      </c>
      <c r="AI19" s="17" t="s">
        <v>20</v>
      </c>
      <c r="AJ19" s="48"/>
      <c r="AK19" s="50"/>
      <c r="AL19" s="52"/>
      <c r="AM19" s="39"/>
      <c r="AN19" s="40"/>
    </row>
    <row r="20" spans="2:40" ht="14.65" thickBot="1" x14ac:dyDescent="0.5">
      <c r="B20" s="55"/>
      <c r="C20" s="57"/>
      <c r="D20" s="57"/>
      <c r="E20" s="44"/>
      <c r="F20" s="72"/>
      <c r="G20" s="44"/>
      <c r="H20" s="47"/>
      <c r="I20" s="26">
        <f>$I$6</f>
        <v>3</v>
      </c>
      <c r="J20" s="27">
        <f>$J$6</f>
        <v>203</v>
      </c>
      <c r="K20" s="9" t="s">
        <v>18</v>
      </c>
      <c r="L20" s="27">
        <f>$L$6</f>
        <v>254</v>
      </c>
      <c r="M20" s="28">
        <f t="shared" si="13"/>
        <v>209</v>
      </c>
      <c r="N20" s="27" t="s">
        <v>18</v>
      </c>
      <c r="O20" s="28">
        <f t="shared" si="14"/>
        <v>260</v>
      </c>
      <c r="P20" s="27">
        <v>252</v>
      </c>
      <c r="Q20" s="9" t="s">
        <v>19</v>
      </c>
      <c r="R20" s="27">
        <v>300</v>
      </c>
      <c r="S20" s="29" t="s">
        <v>42</v>
      </c>
      <c r="T20" s="30">
        <v>29.24</v>
      </c>
      <c r="U20" s="30" t="s">
        <v>41</v>
      </c>
      <c r="V20" s="31">
        <v>20</v>
      </c>
      <c r="W20" s="27">
        <f t="shared" si="15"/>
        <v>199</v>
      </c>
      <c r="X20" s="27" t="s">
        <v>18</v>
      </c>
      <c r="Y20" s="27">
        <f t="shared" si="16"/>
        <v>260</v>
      </c>
      <c r="Z20" s="27">
        <f t="shared" si="17"/>
        <v>449.24</v>
      </c>
      <c r="AA20" s="27" t="s">
        <v>18</v>
      </c>
      <c r="AB20" s="27">
        <f t="shared" si="18"/>
        <v>260</v>
      </c>
      <c r="AC20" s="30">
        <f t="shared" si="19"/>
        <v>489.24</v>
      </c>
      <c r="AD20" s="27" t="s">
        <v>18</v>
      </c>
      <c r="AE20" s="31">
        <f t="shared" si="20"/>
        <v>300</v>
      </c>
      <c r="AF20" s="32">
        <f t="shared" si="21"/>
        <v>495.24</v>
      </c>
      <c r="AG20" s="27" t="s">
        <v>18</v>
      </c>
      <c r="AH20" s="28">
        <f t="shared" si="22"/>
        <v>306</v>
      </c>
      <c r="AI20" s="29" t="s">
        <v>20</v>
      </c>
      <c r="AJ20" s="49"/>
      <c r="AK20" s="51"/>
      <c r="AL20" s="53"/>
      <c r="AM20" s="41"/>
      <c r="AN20" s="42"/>
    </row>
  </sheetData>
  <mergeCells count="45">
    <mergeCell ref="AM6:AN11"/>
    <mergeCell ref="AC5:AE5"/>
    <mergeCell ref="AF5:AH5"/>
    <mergeCell ref="G6:G11"/>
    <mergeCell ref="H6:H11"/>
    <mergeCell ref="A1:AL1"/>
    <mergeCell ref="J4:S4"/>
    <mergeCell ref="T4:AI4"/>
    <mergeCell ref="AJ4:AL4"/>
    <mergeCell ref="B6:B11"/>
    <mergeCell ref="C6:C11"/>
    <mergeCell ref="D6:D11"/>
    <mergeCell ref="E6:E11"/>
    <mergeCell ref="F6:F11"/>
    <mergeCell ref="AJ6:AJ11"/>
    <mergeCell ref="AK6:AK11"/>
    <mergeCell ref="AL6:AL11"/>
    <mergeCell ref="AM4:AN4"/>
    <mergeCell ref="J5:L5"/>
    <mergeCell ref="M5:O5"/>
    <mergeCell ref="P5:R5"/>
    <mergeCell ref="W5:Y5"/>
    <mergeCell ref="Z5:AB5"/>
    <mergeCell ref="J13:S13"/>
    <mergeCell ref="T13:AI13"/>
    <mergeCell ref="AJ13:AL13"/>
    <mergeCell ref="AM13:AN13"/>
    <mergeCell ref="J14:L14"/>
    <mergeCell ref="M14:O14"/>
    <mergeCell ref="P14:R14"/>
    <mergeCell ref="W14:Y14"/>
    <mergeCell ref="Z14:AB14"/>
    <mergeCell ref="AC14:AE14"/>
    <mergeCell ref="AF14:AH14"/>
    <mergeCell ref="B15:B20"/>
    <mergeCell ref="C15:C20"/>
    <mergeCell ref="D15:D20"/>
    <mergeCell ref="E15:E20"/>
    <mergeCell ref="F15:F20"/>
    <mergeCell ref="AM15:AN20"/>
    <mergeCell ref="G15:G20"/>
    <mergeCell ref="H15:H20"/>
    <mergeCell ref="AJ15:AJ20"/>
    <mergeCell ref="AK15:AK20"/>
    <mergeCell ref="AL15:AL2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153F-0B2B-442E-B675-678BE814C47D}">
  <dimension ref="A2:V33"/>
  <sheetViews>
    <sheetView workbookViewId="0">
      <selection activeCell="K21" sqref="K21"/>
    </sheetView>
  </sheetViews>
  <sheetFormatPr defaultRowHeight="14.25" x14ac:dyDescent="0.45"/>
  <cols>
    <col min="17" max="17" width="16.265625" bestFit="1" customWidth="1"/>
    <col min="22" max="22" width="11" bestFit="1" customWidth="1"/>
  </cols>
  <sheetData>
    <row r="2" spans="1:22" x14ac:dyDescent="0.45">
      <c r="H2">
        <f>V11</f>
        <v>632.76</v>
      </c>
      <c r="Q2" s="35" t="s">
        <v>51</v>
      </c>
    </row>
    <row r="3" spans="1:22" x14ac:dyDescent="0.45">
      <c r="Q3" s="35" t="s">
        <v>52</v>
      </c>
      <c r="R3">
        <v>203</v>
      </c>
    </row>
    <row r="4" spans="1:22" x14ac:dyDescent="0.45">
      <c r="Q4" s="35" t="s">
        <v>53</v>
      </c>
      <c r="R4">
        <v>254</v>
      </c>
    </row>
    <row r="5" spans="1:22" x14ac:dyDescent="0.45">
      <c r="H5" s="34" t="s">
        <v>49</v>
      </c>
      <c r="Q5" s="35"/>
    </row>
    <row r="6" spans="1:22" x14ac:dyDescent="0.45">
      <c r="H6" s="34" t="s">
        <v>54</v>
      </c>
      <c r="Q6" s="35" t="s">
        <v>50</v>
      </c>
      <c r="R6">
        <f>R3+10</f>
        <v>213</v>
      </c>
    </row>
    <row r="7" spans="1:22" x14ac:dyDescent="0.45">
      <c r="Q7" s="35" t="s">
        <v>55</v>
      </c>
      <c r="R7">
        <v>150</v>
      </c>
    </row>
    <row r="8" spans="1:22" x14ac:dyDescent="0.45">
      <c r="E8" s="70">
        <f>R6</f>
        <v>213</v>
      </c>
      <c r="F8" s="70"/>
    </row>
    <row r="9" spans="1:22" x14ac:dyDescent="0.45">
      <c r="C9" s="34" t="s">
        <v>58</v>
      </c>
      <c r="Q9" s="35" t="s">
        <v>56</v>
      </c>
      <c r="R9">
        <v>100</v>
      </c>
    </row>
    <row r="10" spans="1:22" x14ac:dyDescent="0.45">
      <c r="Q10" s="35" t="s">
        <v>57</v>
      </c>
      <c r="T10" s="35" t="s">
        <v>48</v>
      </c>
      <c r="V10" s="35" t="s">
        <v>47</v>
      </c>
    </row>
    <row r="11" spans="1:22" x14ac:dyDescent="0.45">
      <c r="A11" s="35">
        <f>R7</f>
        <v>150</v>
      </c>
      <c r="Q11" s="35" t="s">
        <v>36</v>
      </c>
      <c r="R11">
        <v>6.76</v>
      </c>
      <c r="T11">
        <v>100</v>
      </c>
      <c r="V11">
        <f t="shared" ref="V11:V16" si="0">($R$6+T11)*2+R11</f>
        <v>632.76</v>
      </c>
    </row>
    <row r="12" spans="1:22" x14ac:dyDescent="0.45">
      <c r="Q12" s="35" t="s">
        <v>37</v>
      </c>
      <c r="R12">
        <v>11.25</v>
      </c>
      <c r="T12" s="36">
        <f>T11-((R12-R11)/2)</f>
        <v>97.754999999999995</v>
      </c>
      <c r="V12">
        <f t="shared" si="0"/>
        <v>632.76</v>
      </c>
    </row>
    <row r="13" spans="1:22" x14ac:dyDescent="0.45">
      <c r="Q13" s="35" t="s">
        <v>38</v>
      </c>
      <c r="R13">
        <v>15.74</v>
      </c>
      <c r="T13" s="36">
        <f t="shared" ref="T13:T16" si="1">T12-((R13-R12)/2)</f>
        <v>95.509999999999991</v>
      </c>
      <c r="V13">
        <f t="shared" si="0"/>
        <v>632.76</v>
      </c>
    </row>
    <row r="14" spans="1:22" x14ac:dyDescent="0.45">
      <c r="Q14" s="35" t="s">
        <v>39</v>
      </c>
      <c r="R14">
        <v>20.239999999999998</v>
      </c>
      <c r="T14" s="36">
        <f t="shared" si="1"/>
        <v>93.259999999999991</v>
      </c>
      <c r="V14">
        <f t="shared" si="0"/>
        <v>632.76</v>
      </c>
    </row>
    <row r="15" spans="1:22" x14ac:dyDescent="0.45">
      <c r="Q15" s="35" t="s">
        <v>40</v>
      </c>
      <c r="R15">
        <v>24.74</v>
      </c>
      <c r="T15" s="36">
        <f t="shared" si="1"/>
        <v>91.009999999999991</v>
      </c>
      <c r="V15">
        <f t="shared" si="0"/>
        <v>632.76</v>
      </c>
    </row>
    <row r="16" spans="1:22" x14ac:dyDescent="0.45">
      <c r="Q16" s="35" t="s">
        <v>41</v>
      </c>
      <c r="R16">
        <v>29.24</v>
      </c>
      <c r="T16" s="36">
        <f t="shared" si="1"/>
        <v>88.759999999999991</v>
      </c>
      <c r="V16">
        <f t="shared" si="0"/>
        <v>632.76</v>
      </c>
    </row>
    <row r="19" spans="8:17" x14ac:dyDescent="0.45">
      <c r="Q19" s="35"/>
    </row>
    <row r="21" spans="8:17" x14ac:dyDescent="0.45">
      <c r="H21" s="34"/>
    </row>
    <row r="33" spans="19:19" x14ac:dyDescent="0.45">
      <c r="S33" t="s">
        <v>46</v>
      </c>
    </row>
  </sheetData>
  <mergeCells count="1">
    <mergeCell ref="E8:F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160F89F3F667468A8C5277998AC3EA" ma:contentTypeVersion="15" ma:contentTypeDescription="Create a new document." ma:contentTypeScope="" ma:versionID="360c2084868354325155990de81202c9">
  <xsd:schema xmlns:xsd="http://www.w3.org/2001/XMLSchema" xmlns:xs="http://www.w3.org/2001/XMLSchema" xmlns:p="http://schemas.microsoft.com/office/2006/metadata/properties" xmlns:ns3="bef2da3a-34a3-42fc-99c6-9052bafb5215" xmlns:ns4="0f942e58-a8b1-4f00-a9c0-42ad17fb447c" targetNamespace="http://schemas.microsoft.com/office/2006/metadata/properties" ma:root="true" ma:fieldsID="23b687cf77c9feac0a0fccd362ecdf96" ns3:_="" ns4:_="">
    <xsd:import namespace="bef2da3a-34a3-42fc-99c6-9052bafb5215"/>
    <xsd:import namespace="0f942e58-a8b1-4f00-a9c0-42ad17fb447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ServiceSearchProperties" minOccurs="0"/>
                <xsd:element ref="ns4:MediaServiceDateTaken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f2da3a-34a3-42fc-99c6-9052bafb52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42e58-a8b1-4f00-a9c0-42ad17fb44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f942e58-a8b1-4f00-a9c0-42ad17fb447c" xsi:nil="true"/>
  </documentManagement>
</p:properties>
</file>

<file path=customXml/itemProps1.xml><?xml version="1.0" encoding="utf-8"?>
<ds:datastoreItem xmlns:ds="http://schemas.openxmlformats.org/officeDocument/2006/customXml" ds:itemID="{AC49AD17-43DA-4CF1-B778-9034F4AB09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f2da3a-34a3-42fc-99c6-9052bafb5215"/>
    <ds:schemaRef ds:uri="0f942e58-a8b1-4f00-a9c0-42ad17fb44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565B18-AB77-48C6-9A0C-9C9781D806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535218-2FB9-47BE-926C-F351442209F2}">
  <ds:schemaRefs>
    <ds:schemaRef ds:uri="http://purl.org/dc/elements/1.1/"/>
    <ds:schemaRef ds:uri="http://schemas.microsoft.com/office/2006/metadata/properties"/>
    <ds:schemaRef ds:uri="0f942e58-a8b1-4f00-a9c0-42ad17fb447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bef2da3a-34a3-42fc-99c6-9052bafb5215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203x254</vt:lpstr>
      <vt:lpstr>Partial DJ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Schouten</dc:creator>
  <cp:lastModifiedBy>Joris Kuper</cp:lastModifiedBy>
  <cp:lastPrinted>2022-11-14T12:04:49Z</cp:lastPrinted>
  <dcterms:created xsi:type="dcterms:W3CDTF">2022-10-20T13:54:13Z</dcterms:created>
  <dcterms:modified xsi:type="dcterms:W3CDTF">2025-11-18T16:06:19Z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0x010100CA160F89F3F667468A8C5277998AC3EA</vt:lpwstr>
  </property>
</Properties>
</file>