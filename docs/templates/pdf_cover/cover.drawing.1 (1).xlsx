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ales &amp; Marketing\03 - Klanten\Dots Memories\Specs\203x254\"/>
    </mc:Choice>
  </mc:AlternateContent>
  <xr:revisionPtr revIDLastSave="0" documentId="8_{0BE33093-B559-4D0B-8A41-3B99C4D11C40}" xr6:coauthVersionLast="47" xr6:coauthVersionMax="47" xr10:uidLastSave="{00000000-0000-0000-0000-000000000000}"/>
  <bookViews>
    <workbookView xWindow="43080" yWindow="-120" windowWidth="29040" windowHeight="15720" xr2:uid="{CDB551E6-FB52-4CC3-AAAA-D69811D021EA}"/>
  </bookViews>
  <sheets>
    <sheet name="Hardcover draw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G34" i="2"/>
  <c r="E35" i="2"/>
  <c r="G35" i="2"/>
  <c r="E36" i="2"/>
  <c r="E41" i="2" s="1"/>
  <c r="G36" i="2"/>
  <c r="E37" i="2"/>
  <c r="E42" i="2" s="1"/>
  <c r="G38" i="2"/>
  <c r="G39" i="2"/>
  <c r="E47" i="2"/>
  <c r="G47" i="2"/>
  <c r="E49" i="2"/>
  <c r="G49" i="2"/>
  <c r="E50" i="2"/>
  <c r="G50" i="2"/>
  <c r="E52" i="2"/>
  <c r="G52" i="2"/>
  <c r="E53" i="2"/>
  <c r="G53" i="2"/>
  <c r="G56" i="2"/>
  <c r="G57" i="2"/>
  <c r="E59" i="2"/>
  <c r="G42" i="2" l="1"/>
  <c r="E45" i="2"/>
  <c r="G45" i="2" s="1"/>
  <c r="E44" i="2"/>
  <c r="G44" i="2" s="1"/>
  <c r="G41" i="2"/>
  <c r="G37" i="2"/>
</calcChain>
</file>

<file path=xl/sharedStrings.xml><?xml version="1.0" encoding="utf-8"?>
<sst xmlns="http://schemas.openxmlformats.org/spreadsheetml/2006/main" count="45" uniqueCount="44">
  <si>
    <t>Bleed</t>
  </si>
  <si>
    <t>Board thickness</t>
  </si>
  <si>
    <t>Spine stroke</t>
  </si>
  <si>
    <t>Front/Back</t>
  </si>
  <si>
    <t>Board material:</t>
  </si>
  <si>
    <t>Height book block incl. bleed</t>
  </si>
  <si>
    <t>Width book block incl. bleed</t>
  </si>
  <si>
    <t>Height book block (finished size)</t>
  </si>
  <si>
    <t>m</t>
  </si>
  <si>
    <t>Width book block (finished size)</t>
  </si>
  <si>
    <t>l</t>
  </si>
  <si>
    <t>Width front and back incl hinch</t>
  </si>
  <si>
    <t>k</t>
  </si>
  <si>
    <t>Total height cover incl. wrap incl. bleed</t>
  </si>
  <si>
    <t>j</t>
  </si>
  <si>
    <t>Total width cover incl. wrap incl. Bleed</t>
  </si>
  <si>
    <t>i</t>
  </si>
  <si>
    <t>Total height cover incl. wrap excl. bleed</t>
  </si>
  <si>
    <t>h</t>
  </si>
  <si>
    <t>Total width cover incl. wrap excl. bleed</t>
  </si>
  <si>
    <t>g</t>
  </si>
  <si>
    <t>Size wrap</t>
  </si>
  <si>
    <t>f</t>
  </si>
  <si>
    <t>Hinch</t>
  </si>
  <si>
    <t>e</t>
  </si>
  <si>
    <t>Height front and back cover</t>
  </si>
  <si>
    <t>d</t>
  </si>
  <si>
    <t>Width front and back cover</t>
  </si>
  <si>
    <t>c</t>
  </si>
  <si>
    <t>Height spine stroke</t>
  </si>
  <si>
    <t>b</t>
  </si>
  <si>
    <t>Width spine stroke*</t>
  </si>
  <si>
    <t>a</t>
  </si>
  <si>
    <t>in inch</t>
  </si>
  <si>
    <t>in mm</t>
  </si>
  <si>
    <t>Sizes</t>
  </si>
  <si>
    <t>*See part# for spine width. Depends on page range</t>
  </si>
  <si>
    <t>mm bleed</t>
  </si>
  <si>
    <t>mm (Width spine stroke)</t>
  </si>
  <si>
    <t>mm (Height book block/ finished size)</t>
  </si>
  <si>
    <t>mm (Width book block/ finished size)</t>
  </si>
  <si>
    <t>Fill in mm =&gt;</t>
  </si>
  <si>
    <t>Hard cover image wrap calculation</t>
  </si>
  <si>
    <t>Hardcover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</si>
</sst>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_);_(* \(#,##0.000\);_(* &quot;-&quot;??_);_(@_)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i/>
      <sz val="10"/>
      <name val="Verdana"/>
      <family val="2"/>
    </font>
    <font>
      <b/>
      <sz val="12"/>
      <name val="Verdana"/>
      <family val="2"/>
    </font>
    <font>
      <sz val="2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CC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2" fontId="1" fillId="0" borderId="0" xfId="1" applyNumberFormat="1" applyAlignment="1">
      <alignment horizontal="right"/>
    </xf>
    <xf numFmtId="2" fontId="1" fillId="0" borderId="0" xfId="1" applyNumberFormat="1"/>
    <xf numFmtId="164" fontId="0" fillId="0" borderId="0" xfId="2" applyFont="1"/>
    <xf numFmtId="0" fontId="2" fillId="0" borderId="0" xfId="1" applyFont="1"/>
    <xf numFmtId="165" fontId="0" fillId="0" borderId="1" xfId="2" applyNumberFormat="1" applyFont="1" applyBorder="1" applyProtection="1"/>
    <xf numFmtId="166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1" xfId="1" applyBorder="1" applyAlignment="1">
      <alignment horizontal="right"/>
    </xf>
    <xf numFmtId="2" fontId="1" fillId="0" borderId="1" xfId="1" applyNumberFormat="1" applyBorder="1" applyAlignment="1">
      <alignment horizontal="right"/>
    </xf>
    <xf numFmtId="0" fontId="2" fillId="0" borderId="1" xfId="1" applyFont="1" applyBorder="1"/>
    <xf numFmtId="164" fontId="0" fillId="0" borderId="1" xfId="2" applyFont="1" applyBorder="1" applyProtection="1"/>
    <xf numFmtId="2" fontId="1" fillId="0" borderId="1" xfId="1" applyNumberFormat="1" applyBorder="1"/>
    <xf numFmtId="2" fontId="1" fillId="2" borderId="1" xfId="1" applyNumberFormat="1" applyFill="1" applyBorder="1" applyAlignment="1">
      <alignment horizontal="right"/>
    </xf>
    <xf numFmtId="0" fontId="1" fillId="2" borderId="0" xfId="1" applyFill="1"/>
    <xf numFmtId="0" fontId="1" fillId="2" borderId="1" xfId="1" applyFill="1" applyBorder="1"/>
    <xf numFmtId="165" fontId="0" fillId="0" borderId="1" xfId="2" applyNumberFormat="1" applyFont="1" applyBorder="1" applyProtection="1">
      <protection hidden="1"/>
    </xf>
    <xf numFmtId="0" fontId="1" fillId="0" borderId="0" xfId="1" applyProtection="1">
      <protection hidden="1"/>
    </xf>
    <xf numFmtId="2" fontId="1" fillId="0" borderId="1" xfId="1" applyNumberFormat="1" applyBorder="1" applyAlignment="1" applyProtection="1">
      <alignment horizontal="right"/>
      <protection hidden="1"/>
    </xf>
    <xf numFmtId="0" fontId="3" fillId="3" borderId="1" xfId="1" applyFont="1" applyFill="1" applyBorder="1" applyAlignment="1">
      <alignment horizontal="right"/>
    </xf>
    <xf numFmtId="2" fontId="3" fillId="3" borderId="1" xfId="1" applyNumberFormat="1" applyFont="1" applyFill="1" applyBorder="1" applyAlignment="1">
      <alignment horizontal="right"/>
    </xf>
    <xf numFmtId="0" fontId="4" fillId="3" borderId="1" xfId="1" applyFont="1" applyFill="1" applyBorder="1"/>
    <xf numFmtId="0" fontId="3" fillId="3" borderId="1" xfId="1" applyFont="1" applyFill="1" applyBorder="1"/>
    <xf numFmtId="0" fontId="5" fillId="0" borderId="1" xfId="1" applyFont="1" applyBorder="1"/>
    <xf numFmtId="0" fontId="6" fillId="0" borderId="2" xfId="1" applyFont="1" applyBorder="1"/>
    <xf numFmtId="0" fontId="6" fillId="0" borderId="2" xfId="1" applyFont="1" applyBorder="1" applyProtection="1">
      <protection locked="0"/>
    </xf>
    <xf numFmtId="0" fontId="2" fillId="4" borderId="0" xfId="1" applyFont="1" applyFill="1"/>
    <xf numFmtId="0" fontId="3" fillId="3" borderId="0" xfId="1" applyFont="1" applyFill="1"/>
    <xf numFmtId="2" fontId="3" fillId="3" borderId="0" xfId="1" applyNumberFormat="1" applyFont="1" applyFill="1" applyAlignment="1">
      <alignment horizontal="right"/>
    </xf>
    <xf numFmtId="0" fontId="7" fillId="5" borderId="0" xfId="0" applyFont="1" applyFill="1" applyAlignment="1">
      <alignment horizontal="center" vertical="center"/>
    </xf>
  </cellXfs>
  <cellStyles count="3">
    <cellStyle name="Comma 2" xfId="2" xr:uid="{DE9FBC1F-AC21-47CF-A4CD-C997AB1B6F87}"/>
    <cellStyle name="Normal" xfId="0" builtinId="0"/>
    <cellStyle name="Normal 5" xfId="1" xr:uid="{6DB70BF0-78B5-4A91-B75E-5EC38B9823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Home!A1"/><Relationship Id="rId1" Type="http://schemas.openxmlformats.org/officeDocument/2006/relationships/image" Target="../media/image1.jpeg"/><Relationship Id="rId5" Type="http://schemas.openxmlformats.org/officeDocument/2006/relationships/image" Target="../media/image3.jpeg"/><Relationship Id="rId4" Type="http://schemas.openxmlformats.org/officeDocument/2006/relationships/hyperlink" Target="http://www.rpiprin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460377</xdr:colOff>
      <xdr:row>9</xdr:row>
      <xdr:rowOff>82550</xdr:rowOff>
    </xdr:from>
    <xdr:ext cx="6498477" cy="3522848"/>
    <xdr:pic>
      <xdr:nvPicPr>
        <xdr:cNvPr id="2" name="Picture 1">
          <a:extLst>
            <a:ext uri="{FF2B5EF4-FFF2-40B4-BE49-F238E27FC236}">
              <a16:creationId xmlns:a16="http://schemas.microsoft.com/office/drawing/2014/main" id="{8EE64B03-2D81-4406-BC80-C4F32C8BE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77" y="1711325"/>
          <a:ext cx="6498477" cy="3522848"/>
        </a:xfrm>
        <a:prstGeom prst="rect">
          <a:avLst/>
        </a:prstGeom>
      </xdr:spPr>
    </xdr:pic>
    <xdr:clientData/>
  </xdr:oneCellAnchor>
  <xdr:oneCellAnchor>
    <xdr:from>
      <xdr:col>8</xdr:col>
      <xdr:colOff>114297</xdr:colOff>
      <xdr:row>0</xdr:row>
      <xdr:rowOff>0</xdr:rowOff>
    </xdr:from>
    <xdr:ext cx="790061" cy="762000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4EA12F-3DBB-4C9F-AB18-EEB23A415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197" y="0"/>
          <a:ext cx="790061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752474" cy="752474"/>
    <xdr:pic>
      <xdr:nvPicPr>
        <xdr:cNvPr id="4" name="Picture 3" descr="http://10.105.10.21:9580/printmanager/images/rpilogonew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80B4ED-AB04-45B7-84BF-BA5AF9B4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2474" cy="752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C438-EC6E-4AC1-B28E-9F3DCDCF213C}">
  <dimension ref="A1:I76"/>
  <sheetViews>
    <sheetView tabSelected="1" zoomScale="115" zoomScaleNormal="115" workbookViewId="0">
      <selection activeCell="J18" sqref="J18"/>
    </sheetView>
  </sheetViews>
  <sheetFormatPr defaultColWidth="12.59765625" defaultRowHeight="12.4" x14ac:dyDescent="0.3"/>
  <cols>
    <col min="1" max="1" width="15" style="1" bestFit="1" customWidth="1"/>
    <col min="2" max="2" width="17.59765625" style="1" bestFit="1" customWidth="1"/>
    <col min="3" max="3" width="41.86328125" style="1" customWidth="1"/>
    <col min="4" max="4" width="2.3984375" style="1" bestFit="1" customWidth="1"/>
    <col min="5" max="5" width="8.1328125" style="2" bestFit="1" customWidth="1"/>
    <col min="6" max="6" width="2.1328125" style="1" customWidth="1"/>
    <col min="7" max="7" width="10.265625" style="1" bestFit="1" customWidth="1"/>
    <col min="8" max="8" width="2.1328125" style="1" customWidth="1"/>
    <col min="9" max="16384" width="12.59765625" style="1"/>
  </cols>
  <sheetData>
    <row r="1" spans="1:9" customFormat="1" ht="60" customHeight="1" x14ac:dyDescent="0.45">
      <c r="A1" s="30" t="s">
        <v>43</v>
      </c>
      <c r="B1" s="30"/>
      <c r="C1" s="30"/>
      <c r="D1" s="30"/>
      <c r="E1" s="30"/>
      <c r="F1" s="30"/>
      <c r="G1" s="30"/>
      <c r="H1" s="30"/>
      <c r="I1" s="30"/>
    </row>
    <row r="3" spans="1:9" x14ac:dyDescent="0.3">
      <c r="A3" s="28" t="s">
        <v>42</v>
      </c>
      <c r="B3" s="28"/>
      <c r="C3" s="28"/>
      <c r="D3" s="28"/>
      <c r="E3" s="29"/>
      <c r="F3" s="28"/>
      <c r="G3" s="28"/>
      <c r="H3" s="28"/>
      <c r="I3" s="28"/>
    </row>
    <row r="4" spans="1:9" x14ac:dyDescent="0.3">
      <c r="E4" s="1"/>
    </row>
    <row r="5" spans="1:9" ht="14.65" x14ac:dyDescent="0.35">
      <c r="A5" s="27" t="s">
        <v>41</v>
      </c>
      <c r="B5" s="26">
        <v>203</v>
      </c>
      <c r="C5" s="5" t="s">
        <v>40</v>
      </c>
      <c r="E5" s="1"/>
    </row>
    <row r="6" spans="1:9" ht="14.65" x14ac:dyDescent="0.35">
      <c r="B6" s="26">
        <v>254</v>
      </c>
      <c r="C6" s="5" t="s">
        <v>39</v>
      </c>
    </row>
    <row r="7" spans="1:9" ht="14.65" x14ac:dyDescent="0.35">
      <c r="B7" s="26">
        <v>6.76</v>
      </c>
      <c r="C7" s="5" t="s">
        <v>38</v>
      </c>
    </row>
    <row r="8" spans="1:9" ht="14.65" x14ac:dyDescent="0.35">
      <c r="B8" s="25">
        <v>3</v>
      </c>
      <c r="C8" s="5" t="s">
        <v>37</v>
      </c>
    </row>
    <row r="9" spans="1:9" x14ac:dyDescent="0.3">
      <c r="C9" s="24" t="s">
        <v>36</v>
      </c>
    </row>
    <row r="33" spans="2:7" x14ac:dyDescent="0.3">
      <c r="B33" s="23" t="s">
        <v>35</v>
      </c>
      <c r="C33" s="22"/>
      <c r="E33" s="21" t="s">
        <v>34</v>
      </c>
      <c r="G33" s="20" t="s">
        <v>33</v>
      </c>
    </row>
    <row r="34" spans="2:7" ht="14.25" x14ac:dyDescent="0.45">
      <c r="B34" s="8" t="s">
        <v>32</v>
      </c>
      <c r="C34" s="8" t="s">
        <v>31</v>
      </c>
      <c r="E34" s="19">
        <f>B7</f>
        <v>6.76</v>
      </c>
      <c r="F34" s="18"/>
      <c r="G34" s="17">
        <f>E34/25.4</f>
        <v>0.26614173228346455</v>
      </c>
    </row>
    <row r="35" spans="2:7" ht="14.25" x14ac:dyDescent="0.45">
      <c r="B35" s="8" t="s">
        <v>30</v>
      </c>
      <c r="C35" s="8" t="s">
        <v>29</v>
      </c>
      <c r="E35" s="10">
        <f>E50+6</f>
        <v>260</v>
      </c>
      <c r="G35" s="12">
        <f>E35/25.4</f>
        <v>10.236220472440946</v>
      </c>
    </row>
    <row r="36" spans="2:7" ht="14.25" x14ac:dyDescent="0.45">
      <c r="B36" s="8" t="s">
        <v>28</v>
      </c>
      <c r="C36" s="8" t="s">
        <v>27</v>
      </c>
      <c r="E36" s="10">
        <f>E49-4</f>
        <v>199</v>
      </c>
      <c r="G36" s="12">
        <f>E36/25.4</f>
        <v>7.8346456692913389</v>
      </c>
    </row>
    <row r="37" spans="2:7" ht="14.25" x14ac:dyDescent="0.45">
      <c r="B37" s="8" t="s">
        <v>26</v>
      </c>
      <c r="C37" s="8" t="s">
        <v>25</v>
      </c>
      <c r="E37" s="10">
        <f>E50+6</f>
        <v>260</v>
      </c>
      <c r="G37" s="12">
        <f>E37/25.4</f>
        <v>10.236220472440946</v>
      </c>
    </row>
    <row r="38" spans="2:7" ht="14.25" x14ac:dyDescent="0.45">
      <c r="B38" s="8" t="s">
        <v>24</v>
      </c>
      <c r="C38" s="8" t="s">
        <v>23</v>
      </c>
      <c r="E38" s="10">
        <v>11</v>
      </c>
      <c r="G38" s="12">
        <f>E38/25.4</f>
        <v>0.43307086614173229</v>
      </c>
    </row>
    <row r="39" spans="2:7" ht="14.25" x14ac:dyDescent="0.45">
      <c r="B39" s="8" t="s">
        <v>22</v>
      </c>
      <c r="C39" s="8" t="s">
        <v>21</v>
      </c>
      <c r="E39" s="10">
        <v>20</v>
      </c>
      <c r="G39" s="12">
        <f>E39/25.4</f>
        <v>0.78740157480314965</v>
      </c>
    </row>
    <row r="40" spans="2:7" ht="14.25" x14ac:dyDescent="0.45">
      <c r="B40" s="8"/>
      <c r="C40" s="8"/>
      <c r="E40" s="10"/>
      <c r="G40" s="12"/>
    </row>
    <row r="41" spans="2:7" ht="14.25" x14ac:dyDescent="0.45">
      <c r="B41" s="8" t="s">
        <v>20</v>
      </c>
      <c r="C41" s="8" t="s">
        <v>19</v>
      </c>
      <c r="E41" s="10">
        <f>(E36+E39+E38)*2+E34</f>
        <v>466.76</v>
      </c>
      <c r="G41" s="12">
        <f>E41/25.4</f>
        <v>18.376377952755906</v>
      </c>
    </row>
    <row r="42" spans="2:7" ht="14.25" x14ac:dyDescent="0.45">
      <c r="B42" s="8" t="s">
        <v>18</v>
      </c>
      <c r="C42" s="8" t="s">
        <v>17</v>
      </c>
      <c r="E42" s="10">
        <f>E37+E39+E39</f>
        <v>300</v>
      </c>
      <c r="G42" s="12">
        <f>E42/25.4</f>
        <v>11.811023622047244</v>
      </c>
    </row>
    <row r="43" spans="2:7" ht="14.25" x14ac:dyDescent="0.45">
      <c r="B43" s="8"/>
      <c r="C43" s="8"/>
      <c r="E43" s="10"/>
      <c r="G43" s="12"/>
    </row>
    <row r="44" spans="2:7" ht="14.25" x14ac:dyDescent="0.45">
      <c r="B44" s="8" t="s">
        <v>16</v>
      </c>
      <c r="C44" s="16" t="s">
        <v>15</v>
      </c>
      <c r="D44" s="15"/>
      <c r="E44" s="14">
        <f>E41+(E59*2)</f>
        <v>472.76</v>
      </c>
      <c r="G44" s="12">
        <f>E44/25.4</f>
        <v>18.61259842519685</v>
      </c>
    </row>
    <row r="45" spans="2:7" ht="14.25" x14ac:dyDescent="0.45">
      <c r="B45" s="8" t="s">
        <v>14</v>
      </c>
      <c r="C45" s="16" t="s">
        <v>13</v>
      </c>
      <c r="D45" s="15"/>
      <c r="E45" s="14">
        <f>E42+(E59*2)</f>
        <v>306</v>
      </c>
      <c r="G45" s="12">
        <f>E45/25.4</f>
        <v>12.047244094488189</v>
      </c>
    </row>
    <row r="46" spans="2:7" ht="14.25" x14ac:dyDescent="0.45">
      <c r="B46" s="8"/>
      <c r="C46" s="8"/>
      <c r="E46" s="10"/>
      <c r="G46" s="12"/>
    </row>
    <row r="47" spans="2:7" ht="14.25" x14ac:dyDescent="0.45">
      <c r="B47" s="8" t="s">
        <v>12</v>
      </c>
      <c r="C47" s="8" t="s">
        <v>11</v>
      </c>
      <c r="E47" s="10">
        <f>E36+E38</f>
        <v>210</v>
      </c>
      <c r="G47" s="12">
        <f>E47/25.4</f>
        <v>8.2677165354330722</v>
      </c>
    </row>
    <row r="48" spans="2:7" ht="14.25" x14ac:dyDescent="0.45">
      <c r="B48" s="8"/>
      <c r="C48" s="8"/>
      <c r="E48" s="10"/>
      <c r="G48" s="12"/>
    </row>
    <row r="49" spans="2:7" ht="14.25" x14ac:dyDescent="0.45">
      <c r="B49" s="8" t="s">
        <v>10</v>
      </c>
      <c r="C49" s="8" t="s">
        <v>9</v>
      </c>
      <c r="E49" s="13">
        <f>B5</f>
        <v>203</v>
      </c>
      <c r="G49" s="12">
        <f>E49/25.4</f>
        <v>7.9921259842519685</v>
      </c>
    </row>
    <row r="50" spans="2:7" ht="14.25" x14ac:dyDescent="0.45">
      <c r="B50" s="8" t="s">
        <v>8</v>
      </c>
      <c r="C50" s="8" t="s">
        <v>7</v>
      </c>
      <c r="E50" s="13">
        <f>B6</f>
        <v>254</v>
      </c>
      <c r="G50" s="12">
        <f>E50/25.4</f>
        <v>10</v>
      </c>
    </row>
    <row r="51" spans="2:7" ht="14.25" x14ac:dyDescent="0.45">
      <c r="B51" s="8"/>
      <c r="C51" s="8"/>
      <c r="E51" s="13"/>
      <c r="G51" s="12"/>
    </row>
    <row r="52" spans="2:7" ht="14.25" x14ac:dyDescent="0.45">
      <c r="B52" s="8"/>
      <c r="C52" s="8" t="s">
        <v>6</v>
      </c>
      <c r="E52" s="13">
        <f>E49+(2*$B$8)</f>
        <v>209</v>
      </c>
      <c r="G52" s="12">
        <f>E52/25.4</f>
        <v>8.228346456692913</v>
      </c>
    </row>
    <row r="53" spans="2:7" ht="14.25" x14ac:dyDescent="0.45">
      <c r="B53" s="8"/>
      <c r="C53" s="8" t="s">
        <v>5</v>
      </c>
      <c r="E53" s="13">
        <f>E50+(2*$B$8)</f>
        <v>260</v>
      </c>
      <c r="G53" s="12">
        <f>E53/25.4</f>
        <v>10.236220472440946</v>
      </c>
    </row>
    <row r="54" spans="2:7" ht="14.25" x14ac:dyDescent="0.45">
      <c r="B54" s="8"/>
      <c r="C54" s="8"/>
      <c r="E54" s="8"/>
      <c r="G54" s="12"/>
    </row>
    <row r="55" spans="2:7" ht="14.25" x14ac:dyDescent="0.45">
      <c r="B55" s="11" t="s">
        <v>4</v>
      </c>
      <c r="C55" s="8"/>
      <c r="E55" s="13"/>
      <c r="G55" s="12"/>
    </row>
    <row r="56" spans="2:7" ht="14.25" x14ac:dyDescent="0.45">
      <c r="B56" s="8" t="s">
        <v>3</v>
      </c>
      <c r="C56" s="8" t="s">
        <v>1</v>
      </c>
      <c r="E56" s="13">
        <v>2.5</v>
      </c>
      <c r="G56" s="12">
        <f>E56/25.4</f>
        <v>9.8425196850393706E-2</v>
      </c>
    </row>
    <row r="57" spans="2:7" ht="14.25" x14ac:dyDescent="0.45">
      <c r="B57" s="8" t="s">
        <v>2</v>
      </c>
      <c r="C57" s="8" t="s">
        <v>1</v>
      </c>
      <c r="E57" s="13">
        <v>2.5</v>
      </c>
      <c r="G57" s="12">
        <f>E57/25.4</f>
        <v>9.8425196850393706E-2</v>
      </c>
    </row>
    <row r="58" spans="2:7" x14ac:dyDescent="0.3">
      <c r="B58" s="11"/>
      <c r="C58" s="8"/>
      <c r="E58" s="10"/>
      <c r="G58" s="9"/>
    </row>
    <row r="59" spans="2:7" ht="14.25" x14ac:dyDescent="0.45">
      <c r="B59" s="8" t="s">
        <v>0</v>
      </c>
      <c r="C59" s="8"/>
      <c r="E59" s="7">
        <f>B8</f>
        <v>3</v>
      </c>
      <c r="G59" s="6">
        <v>0.125</v>
      </c>
    </row>
    <row r="60" spans="2:7" ht="14.25" x14ac:dyDescent="0.45">
      <c r="G60" s="4"/>
    </row>
    <row r="61" spans="2:7" ht="14.25" x14ac:dyDescent="0.45">
      <c r="G61" s="4"/>
    </row>
    <row r="62" spans="2:7" ht="14.25" x14ac:dyDescent="0.45">
      <c r="G62" s="4"/>
    </row>
    <row r="63" spans="2:7" ht="14.25" x14ac:dyDescent="0.45">
      <c r="G63" s="4"/>
    </row>
    <row r="64" spans="2:7" ht="14.25" x14ac:dyDescent="0.45">
      <c r="G64" s="4"/>
    </row>
    <row r="65" spans="2:7" ht="14.25" x14ac:dyDescent="0.45">
      <c r="G65" s="4"/>
    </row>
    <row r="66" spans="2:7" ht="14.25" x14ac:dyDescent="0.45">
      <c r="G66" s="4"/>
    </row>
    <row r="67" spans="2:7" ht="14.25" x14ac:dyDescent="0.45">
      <c r="G67" s="4"/>
    </row>
    <row r="68" spans="2:7" ht="14.25" x14ac:dyDescent="0.45">
      <c r="G68" s="4"/>
    </row>
    <row r="69" spans="2:7" ht="14.25" x14ac:dyDescent="0.45">
      <c r="G69" s="4"/>
    </row>
    <row r="70" spans="2:7" ht="14.25" x14ac:dyDescent="0.45">
      <c r="G70" s="4"/>
    </row>
    <row r="71" spans="2:7" ht="14.25" x14ac:dyDescent="0.45">
      <c r="E71" s="1"/>
      <c r="G71" s="4"/>
    </row>
    <row r="72" spans="2:7" ht="14.25" x14ac:dyDescent="0.45">
      <c r="B72" s="5"/>
      <c r="E72" s="3"/>
      <c r="G72" s="4"/>
    </row>
    <row r="73" spans="2:7" ht="14.25" x14ac:dyDescent="0.45">
      <c r="E73" s="3"/>
      <c r="G73" s="4"/>
    </row>
    <row r="74" spans="2:7" ht="14.25" x14ac:dyDescent="0.45">
      <c r="E74" s="3"/>
      <c r="G74" s="4"/>
    </row>
    <row r="75" spans="2:7" x14ac:dyDescent="0.3">
      <c r="E75" s="3"/>
    </row>
    <row r="76" spans="2:7" x14ac:dyDescent="0.3">
      <c r="E76" s="3"/>
    </row>
  </sheetData>
  <sheetProtection algorithmName="SHA-512" hashValue="tO32dFTRi8gF6lDhSYfzXRltCBYBrAToTUiPyR4mU6GRxUUuFPm5gWECaAS0ZtCLpO3wNgGaR6rjOcW7hcUjLQ==" saltValue="oVUj77v3JE2HvI/9S5yhhA==" spinCount="100000" sheet="1" objects="1" scenarios="1"/>
  <mergeCells count="1">
    <mergeCell ref="A1:I1"/>
  </mergeCells>
  <conditionalFormatting sqref="B5:B8">
    <cfRule type="cellIs" dxfId="0" priority="1" operator="equal">
      <formula>0</formula>
    </cfRule>
  </conditionalFormatting>
  <pageMargins left="0.36" right="0.17" top="1" bottom="0.2" header="0.5" footer="0.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Hardcover drawing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Kuper</dc:creator>
  <cp:lastModifiedBy>Joris Kuper</cp:lastModifiedBy>
  <dcterms:created xsi:type="dcterms:W3CDTF">2026-02-10T08:48:11Z</dcterms:created>
  <dcterms:modified xsi:type="dcterms:W3CDTF">2026-02-10T08:50:53Z</dcterms:modified>
</cp:coreProperties>
</file>